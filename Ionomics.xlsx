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8.xml" ContentType="application/vnd.openxmlformats-officedocument.drawingml.chart+xml"/>
  <Override PartName="/xl/charts/chart7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8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trix16" sheetId="1" state="visible" r:id="rId2"/>
    <sheet name="matrix 11-EDIT" sheetId="2" state="visible" r:id="rId3"/>
    <sheet name="p-Value" sheetId="3" state="visible" r:id="rId4"/>
    <sheet name="p-Value EDITED" sheetId="4" state="visible" r:id="rId5"/>
    <sheet name="Localization" sheetId="5" state="visible" r:id="rId6"/>
    <sheet name="Biological Process" sheetId="6" state="visible" r:id="rId7"/>
    <sheet name="REACTOME" sheetId="7" state="visible" r:id="rId8"/>
    <sheet name="REACTOME-EDITED" sheetId="8" state="visible" r:id="rId9"/>
  </sheets>
  <definedNames>
    <definedName function="false" hidden="false" localSheetId="0" name="matrix_16_3cond" vbProcedure="false">Matrix16!$A$1:$AZ$110</definedName>
    <definedName function="false" hidden="false" localSheetId="1" name="matrix_11_3cond" vbProcedure="false">'matrix 11-EDIT'!$D$1:$AU$109</definedName>
    <definedName function="false" hidden="false" localSheetId="2" name="matrix_11_3cond" vbProcedure="false">'p-Value'!$D$1:$AD$108</definedName>
    <definedName function="false" hidden="false" localSheetId="3" name="matrix_11_3cond" vbProcedure="false">'p-Value EDITED'!$B$2:$AB$45</definedName>
    <definedName function="false" hidden="false" localSheetId="4" name="panther_CellComp" vbProcedure="false">Localization!$A$51:$E$54</definedName>
    <definedName function="false" hidden="false" localSheetId="5" name="panther_BiolProc" vbProcedure="false">'Biological Process'!$A$14:$E$21</definedName>
    <definedName function="false" hidden="false" localSheetId="6" name="Reactome_3Cond" vbProcedure="false">REACTOME!$A$1:$AL$271</definedName>
    <definedName function="false" hidden="false" localSheetId="7" name="Reactome_3Cond" vbProcedure="false">'REACTOME-EDITED'!$A$1:$AJ$225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<sst xmlns="http://schemas.openxmlformats.org/spreadsheetml/2006/main" count="4748" uniqueCount="1498">
  <si>
    <t xml:space="preserve">LFQ intensity BL10</t>
  </si>
  <si>
    <t xml:space="preserve">LFQ intensity BL12</t>
  </si>
  <si>
    <t xml:space="preserve">LFQ intensity BL2</t>
  </si>
  <si>
    <t xml:space="preserve">LFQ intensity BL5</t>
  </si>
  <si>
    <t xml:space="preserve">LFQ intensity BL8</t>
  </si>
  <si>
    <t xml:space="preserve">LFQ intensity BN10</t>
  </si>
  <si>
    <t xml:space="preserve">LFQ intensity BN11</t>
  </si>
  <si>
    <t xml:space="preserve">LFQ intensity CN10</t>
  </si>
  <si>
    <t xml:space="preserve">LFQ intensity CN13</t>
  </si>
  <si>
    <t xml:space="preserve">LFQ intensity CN3</t>
  </si>
  <si>
    <t xml:space="preserve">LFQ intensity CN4</t>
  </si>
  <si>
    <t xml:space="preserve">LFQ intensity CN5</t>
  </si>
  <si>
    <t xml:space="preserve">LFQ intensity CN6</t>
  </si>
  <si>
    <t xml:space="preserve">LFQ intensity CN8</t>
  </si>
  <si>
    <t xml:space="preserve">LFQ intensity CN9</t>
  </si>
  <si>
    <t xml:space="preserve">LFQ intensity CP1</t>
  </si>
  <si>
    <t xml:space="preserve">LFQ intensity CP4</t>
  </si>
  <si>
    <t xml:space="preserve">LFQ intensity CP5</t>
  </si>
  <si>
    <t xml:space="preserve">LFQ intensity CP8</t>
  </si>
  <si>
    <t xml:space="preserve">LFQ intensity CP9</t>
  </si>
  <si>
    <t xml:space="preserve">LFQ intensity SZ11</t>
  </si>
  <si>
    <t xml:space="preserve">LFQ intensity SZ12</t>
  </si>
  <si>
    <t xml:space="preserve">LFQ intensity SZ2</t>
  </si>
  <si>
    <t xml:space="preserve">LFQ intensity SZ3</t>
  </si>
  <si>
    <t xml:space="preserve">LFQ intensity SZ5</t>
  </si>
  <si>
    <t xml:space="preserve">LFQ intensity SZ6</t>
  </si>
  <si>
    <t xml:space="preserve">LFQ intensity SZ9</t>
  </si>
  <si>
    <t xml:space="preserve">Only identified by site</t>
  </si>
  <si>
    <t xml:space="preserve">Reverse</t>
  </si>
  <si>
    <t xml:space="preserve">Potential contaminant</t>
  </si>
  <si>
    <t xml:space="preserve">ANOVA Significant</t>
  </si>
  <si>
    <t xml:space="preserve">Peptides</t>
  </si>
  <si>
    <t xml:space="preserve">Razor + unique peptides</t>
  </si>
  <si>
    <t xml:space="preserve">Unique peptides</t>
  </si>
  <si>
    <t xml:space="preserve">Sequence coverage [%]</t>
  </si>
  <si>
    <t xml:space="preserve">Unique + razor sequence coverage [%]</t>
  </si>
  <si>
    <t xml:space="preserve">Unique sequence coverage [%]</t>
  </si>
  <si>
    <t xml:space="preserve">Mol. weight [kDa]</t>
  </si>
  <si>
    <t xml:space="preserve">Q-value</t>
  </si>
  <si>
    <t xml:space="preserve">Score</t>
  </si>
  <si>
    <t xml:space="preserve">Intensity</t>
  </si>
  <si>
    <t xml:space="preserve">MS/MS count</t>
  </si>
  <si>
    <t xml:space="preserve">ANOVA p value</t>
  </si>
  <si>
    <t xml:space="preserve">ANOVA q-value</t>
  </si>
  <si>
    <t xml:space="preserve">Protein IDs</t>
  </si>
  <si>
    <t xml:space="preserve">Majority protein IDs</t>
  </si>
  <si>
    <t xml:space="preserve">Protein names</t>
  </si>
  <si>
    <t xml:space="preserve">Gene names</t>
  </si>
  <si>
    <t xml:space="preserve">Peptide is razor</t>
  </si>
  <si>
    <t xml:space="preserve">Oxidation (M) site IDs</t>
  </si>
  <si>
    <t xml:space="preserve">Oxidation (M) site positions</t>
  </si>
  <si>
    <t xml:space="preserve">id</t>
  </si>
  <si>
    <t xml:space="preserve">#!{Type}E</t>
  </si>
  <si>
    <t xml:space="preserve">E</t>
  </si>
  <si>
    <t xml:space="preserve">C</t>
  </si>
  <si>
    <t xml:space="preserve">N</t>
  </si>
  <si>
    <t xml:space="preserve">T</t>
  </si>
  <si>
    <t xml:space="preserve">#!{C:Group1}BD</t>
  </si>
  <si>
    <t xml:space="preserve">BD</t>
  </si>
  <si>
    <t xml:space="preserve">HC</t>
  </si>
  <si>
    <t xml:space="preserve">SCZ</t>
  </si>
  <si>
    <t xml:space="preserve">A0A087WW43;Q06033-2;Q06033;E7ET33;Q0V8M9;CON__Q0V8M9</t>
  </si>
  <si>
    <t xml:space="preserve">A0A087WW43;Q06033-2;Q06033;E7ET33</t>
  </si>
  <si>
    <t xml:space="preserve">Inter-alpha-trypsin inhibitor heavy chain H3</t>
  </si>
  <si>
    <t xml:space="preserve">ITIH3</t>
  </si>
  <si>
    <t xml:space="preserve">True;True;True</t>
  </si>
  <si>
    <t xml:space="preserve">A0A087WYJ9;A0A1B0GUU9;P01871;P01871-2;P04220</t>
  </si>
  <si>
    <t xml:space="preserve">Ig mu chain C region;Ig mu heavy chain disease protein</t>
  </si>
  <si>
    <t xml:space="preserve">IGHM</t>
  </si>
  <si>
    <t xml:space="preserve">True;True;True;True;True;True;True;True;True;True;True;True;True;True;True;True;True;True</t>
  </si>
  <si>
    <t xml:space="preserve">5;6</t>
  </si>
  <si>
    <t xml:space="preserve">78;382</t>
  </si>
  <si>
    <t xml:space="preserve">A0A087X1J7;P22352;H0YBE4</t>
  </si>
  <si>
    <t xml:space="preserve">Glutathione peroxidase;Glutathione peroxidase 3</t>
  </si>
  <si>
    <t xml:space="preserve">GPX3</t>
  </si>
  <si>
    <t xml:space="preserve">A0A096LPE2;P35542</t>
  </si>
  <si>
    <t xml:space="preserve">Serum amyloid A-4 protein</t>
  </si>
  <si>
    <t xml:space="preserve">SAA2-SAA4;SAA4</t>
  </si>
  <si>
    <t xml:space="preserve">7;8</t>
  </si>
  <si>
    <t xml:space="preserve">113;121</t>
  </si>
  <si>
    <t xml:space="preserve">A0A0A0MSV6;D6R934;P02746</t>
  </si>
  <si>
    <t xml:space="preserve">Complement C1q subcomponent subunit B</t>
  </si>
  <si>
    <t xml:space="preserve">C1QB</t>
  </si>
  <si>
    <t xml:space="preserve">True;True</t>
  </si>
  <si>
    <t xml:space="preserve">A0A0B4J231;B9A064;P0CG04</t>
  </si>
  <si>
    <t xml:space="preserve">Immunoglobulin lambda-like polypeptide 5;Ig lambda-1 chain C regions</t>
  </si>
  <si>
    <t xml:space="preserve">IGLL5;IGLC1</t>
  </si>
  <si>
    <t xml:space="preserve">True;True;True;True;True</t>
  </si>
  <si>
    <t xml:space="preserve">S4R460;A0A0B4J2B5;A0A075B7F0;A0A0C4DH32;P0DP04;A0A0B4J1X8;P01766;P01782</t>
  </si>
  <si>
    <t xml:space="preserve">Ig heavy chain V-III region BRO;Ig heavy chain V-III region DOB</t>
  </si>
  <si>
    <t xml:space="preserve">IGHV3OR16-9;IGHV3OR16-10;IGHV3-20;IGHV3-43</t>
  </si>
  <si>
    <t xml:space="preserve">True;False</t>
  </si>
  <si>
    <t xml:space="preserve">A0A0C4DH38</t>
  </si>
  <si>
    <t xml:space="preserve">IGHV5-51</t>
  </si>
  <si>
    <t xml:space="preserve">P0DP08;P0DP06;A0A0C4DH41;P01825;P06331;P01824;A0A0J9YWU9;A0A087WW49;A0A075B6R2;P0DP07;A0A087WSY4</t>
  </si>
  <si>
    <t xml:space="preserve">Ig heavy chain V-II region NEWM;Ig heavy chain V-II region ARH-77;Ig heavy chain V-II region WAH</t>
  </si>
  <si>
    <t xml:space="preserve">IGHV4-61;IGHV4-4;IGHV4-31</t>
  </si>
  <si>
    <t xml:space="preserve">A0A0G2JMB2</t>
  </si>
  <si>
    <t xml:space="preserve">True;True;False;True;False;False;True;False;False;False;False;False;False;False</t>
  </si>
  <si>
    <t xml:space="preserve">A0A140TA29;A0A0G2JL54</t>
  </si>
  <si>
    <t xml:space="preserve">False;False;False;False;False;True;False;False;False;False;False;False;False;False;False;False;False;False;False;False;False;False;False;False;False;False;False;False;False;False;False;False;False;False;False;False;False;False;False;False;False;False;False;True;False;False;False;False;False;False;False;False;False;False;False;False;False;False;False;False;False;False;False;False</t>
  </si>
  <si>
    <t xml:space="preserve">12;13;14;15;16</t>
  </si>
  <si>
    <t xml:space="preserve">167;177;328;968;1281</t>
  </si>
  <si>
    <t xml:space="preserve">B0YIW2;P02656</t>
  </si>
  <si>
    <t xml:space="preserve">Apolipoprotein C-III</t>
  </si>
  <si>
    <t xml:space="preserve">APOC3</t>
  </si>
  <si>
    <t xml:space="preserve">B4DPQ0;F5H2D0;P00736;F5H1V0;F5H3N3;F5H6Y3;F5H1N6;F5GWL0;F5H3A3</t>
  </si>
  <si>
    <t xml:space="preserve">B4DPQ0;F5H2D0;P00736</t>
  </si>
  <si>
    <t xml:space="preserve">Complement C1r subcomponent;Complement C1r subcomponent heavy chain;Complement C1r subcomponent light chain</t>
  </si>
  <si>
    <t xml:space="preserve">C1R</t>
  </si>
  <si>
    <t xml:space="preserve">True;True;True;True;True;True;True;True;True;True;True;True;True;True;True;True</t>
  </si>
  <si>
    <t xml:space="preserve">B4E1Z4;E7ETN3;P00751;H7C5H1;A0A0G2JH38;P00751-2;C9JRT3;H7C526;A0A0G2JHM4;A0A0G2JJ82;A0A0G2JI59;C9JYQ5;A2ABG0;F2Z3N2;Q8N6L6</t>
  </si>
  <si>
    <t xml:space="preserve">B4E1Z4;E7ETN3;P00751</t>
  </si>
  <si>
    <t xml:space="preserve">Complement factor B;Complement factor B Ba fragment;Complement factor B Bb fragment</t>
  </si>
  <si>
    <t xml:space="preserve">CFB</t>
  </si>
  <si>
    <t xml:space="preserve">True;True;True;True;True;True;True;True;True;True;True;True;True;True;True;True;True;True;True;True;True;True;True;True;True;True;True;True;True;True;True;True;True;True</t>
  </si>
  <si>
    <t xml:space="preserve">22;23</t>
  </si>
  <si>
    <t xml:space="preserve">889;896</t>
  </si>
  <si>
    <t xml:space="preserve">B7ZKJ8;Q14624-3;Q14624-2;Q14624;Q14624-4;H7C0L5</t>
  </si>
  <si>
    <t xml:space="preserve">Inter-alpha-trypsin inhibitor heavy chain H4;70 kDa inter-alpha-trypsin inhibitor heavy chain H4;35 kDa inter-alpha-trypsin inhibitor heavy chain H4</t>
  </si>
  <si>
    <t xml:space="preserve">ITIH4</t>
  </si>
  <si>
    <t xml:space="preserve">True;True;True;True;True;True;True;True;True;True;True;True;True;True;True;True;True;True;True;True;True;True;True;True;True</t>
  </si>
  <si>
    <t xml:space="preserve">24;25</t>
  </si>
  <si>
    <t xml:space="preserve">356;358</t>
  </si>
  <si>
    <t xml:space="preserve">C9JF17;P05090;C9JX71;F8WBT9</t>
  </si>
  <si>
    <t xml:space="preserve">C9JF17;P05090</t>
  </si>
  <si>
    <t xml:space="preserve">Apolipoprotein D</t>
  </si>
  <si>
    <t xml:space="preserve">APOD</t>
  </si>
  <si>
    <t xml:space="preserve">D6RAR4;Q04756;ENSEMBL:ENSBTAP00000023055;CON__ENSEMBL:ENSBTAP00000023055</t>
  </si>
  <si>
    <t xml:space="preserve">D6RAR4;Q04756</t>
  </si>
  <si>
    <t xml:space="preserve">Hepatocyte growth factor activator;Hepatocyte growth factor activator short chain;Hepatocyte growth factor activator long chain</t>
  </si>
  <si>
    <t xml:space="preserve">HGFAC</t>
  </si>
  <si>
    <t xml:space="preserve">D6RHJ6;D6RD17;P01591;C9JA05</t>
  </si>
  <si>
    <t xml:space="preserve">Immunoglobulin J chain</t>
  </si>
  <si>
    <t xml:space="preserve">JCHAIN;IGJ</t>
  </si>
  <si>
    <t xml:space="preserve">True;True;True;True</t>
  </si>
  <si>
    <t xml:space="preserve">G3XAM2;E7ETH0;P05156;A0A087X0I2;D6R9Z8;Q32PI4;CON__Q32PI4</t>
  </si>
  <si>
    <t xml:space="preserve">G3XAM2;E7ETH0;P05156;A0A087X0I2</t>
  </si>
  <si>
    <t xml:space="preserve">Complement factor I;Complement factor I heavy chain;Complement factor I light chain</t>
  </si>
  <si>
    <t xml:space="preserve">CFI</t>
  </si>
  <si>
    <t xml:space="preserve">True;True;True;True;True;True;True;True;True;True;True;True</t>
  </si>
  <si>
    <t xml:space="preserve">F8WCZ6;P09871;A0A087X232;F5H7T4;H0Y5D1</t>
  </si>
  <si>
    <t xml:space="preserve">F8WCZ6;P09871;A0A087X232</t>
  </si>
  <si>
    <t xml:space="preserve">Complement C1s subcomponent;Complement C1s subcomponent heavy chain;Complement C1s subcomponent light chain</t>
  </si>
  <si>
    <t xml:space="preserve">C1S</t>
  </si>
  <si>
    <t xml:space="preserve">True;True;True;True;True;True;True;True;True;True</t>
  </si>
  <si>
    <t xml:space="preserve">H0YAC1;P03952;E9PBC5;C9JCT1;C9J075</t>
  </si>
  <si>
    <t xml:space="preserve">H0YAC1;P03952;E9PBC5</t>
  </si>
  <si>
    <t xml:space="preserve">Plasma kallikrein;Plasma kallikrein heavy chain;Plasma kallikrein light chain</t>
  </si>
  <si>
    <t xml:space="preserve">KLKB1</t>
  </si>
  <si>
    <t xml:space="preserve">True;True;True;True;True;True;True</t>
  </si>
  <si>
    <t xml:space="preserve">O14791;O14791-2;O14791-3;B1AH94;B1AH96;B1AH95;F8WCH3</t>
  </si>
  <si>
    <t xml:space="preserve">O14791;O14791-2;O14791-3</t>
  </si>
  <si>
    <t xml:space="preserve">Apolipoprotein L1</t>
  </si>
  <si>
    <t xml:space="preserve">APOL1</t>
  </si>
  <si>
    <t xml:space="preserve">True;True;True;True;True;True</t>
  </si>
  <si>
    <t xml:space="preserve">O43866</t>
  </si>
  <si>
    <t xml:space="preserve">CD5 antigen-like</t>
  </si>
  <si>
    <t xml:space="preserve">CD5L</t>
  </si>
  <si>
    <t xml:space="preserve">O75636-2;O75636</t>
  </si>
  <si>
    <t xml:space="preserve">Ficolin-3</t>
  </si>
  <si>
    <t xml:space="preserve">FCN3</t>
  </si>
  <si>
    <t xml:space="preserve">O95445;O95445-2;Q5SRP5</t>
  </si>
  <si>
    <t xml:space="preserve">O95445;O95445-2</t>
  </si>
  <si>
    <t xml:space="preserve">Apolipoprotein M</t>
  </si>
  <si>
    <t xml:space="preserve">APOM</t>
  </si>
  <si>
    <t xml:space="preserve">P00450;ENSEMBL:ENSBTAP00000031900;CON__ENSEMBL:ENSBTAP00000031900</t>
  </si>
  <si>
    <t xml:space="preserve">P00450</t>
  </si>
  <si>
    <t xml:space="preserve">Ceruloplasmin</t>
  </si>
  <si>
    <t xml:space="preserve">CP</t>
  </si>
  <si>
    <t xml:space="preserve">True;True;True;True;True;True;True;True;True;True;True;True;True;True;True;True;True;True;True;True;True;True;True;True;True;True;True;True;True;True;True;True;True;True;True;True;True;True;True;True;True;True;True;True</t>
  </si>
  <si>
    <t xml:space="preserve">40;41;43</t>
  </si>
  <si>
    <t xml:space="preserve">259;538;557</t>
  </si>
  <si>
    <t xml:space="preserve">P00734;E9PIT3;C9JV37;P00735;CON__P00735</t>
  </si>
  <si>
    <t xml:space="preserve">P00734;E9PIT3</t>
  </si>
  <si>
    <t xml:space="preserve">Prothrombin;Activation peptide fragment 1;Activation peptide fragment 2;Thrombin light chain;Thrombin heavy chain</t>
  </si>
  <si>
    <t xml:space="preserve">F2</t>
  </si>
  <si>
    <t xml:space="preserve">True;True;True;True;True;True;True;True;True;True;True;True;True;True;True;True;True;True;True;True;True;True;True;True</t>
  </si>
  <si>
    <t xml:space="preserve">P00738;J3QR68;H0Y300;A0A0C4DGL8;P00738-2;J3QLC9;A0A087WU08;H3BS21;J3KRH2;J3KSV1;J3QQI8;H3BMJ7</t>
  </si>
  <si>
    <t xml:space="preserve">P00738;J3QR68;H0Y300;A0A0C4DGL8;P00738-2;J3QLC9;A0A087WU08</t>
  </si>
  <si>
    <t xml:space="preserve">Haptoglobin;Haptoglobin alpha chain;Haptoglobin beta chain</t>
  </si>
  <si>
    <t xml:space="preserve">HP</t>
  </si>
  <si>
    <t xml:space="preserve">True;True;True;True;True;True;True;True;True;True;True;True;True;True;True;True;True;True;True;True;True;True;True;True;True;True;True</t>
  </si>
  <si>
    <t xml:space="preserve">45;46;47</t>
  </si>
  <si>
    <t xml:space="preserve">263;300;343</t>
  </si>
  <si>
    <t xml:space="preserve">P00739;P00739-2;A0A0A0MRD9;J3KTC3</t>
  </si>
  <si>
    <t xml:space="preserve">P00739;P00739-2;A0A0A0MRD9</t>
  </si>
  <si>
    <t xml:space="preserve">Haptoglobin-related protein</t>
  </si>
  <si>
    <t xml:space="preserve">HPR</t>
  </si>
  <si>
    <t xml:space="preserve">False;False;False;False;False;False;False;False;True;True;False;False;True;False;True;False;True;True</t>
  </si>
  <si>
    <t xml:space="preserve">46;48</t>
  </si>
  <si>
    <t xml:space="preserve">205;285</t>
  </si>
  <si>
    <t xml:space="preserve">P00742;Q5JVE8;B7ZBK1</t>
  </si>
  <si>
    <t xml:space="preserve">P00742</t>
  </si>
  <si>
    <t xml:space="preserve">Coagulation factor X;Factor X light chain;Factor X heavy chain;Activated factor Xa heavy chain</t>
  </si>
  <si>
    <t xml:space="preserve">F10</t>
  </si>
  <si>
    <t xml:space="preserve">P00747;Q5TEH5;A6PVI2;P06868;CON__P06868;Q15195;Q02325</t>
  </si>
  <si>
    <t xml:space="preserve">P00747</t>
  </si>
  <si>
    <t xml:space="preserve">Plasminogen;Plasmin heavy chain A;Activation peptide;Angiostatin;Plasmin heavy chain A, short form;Plasmin light chain B</t>
  </si>
  <si>
    <t xml:space="preserve">PLG</t>
  </si>
  <si>
    <t xml:space="preserve">True;True;True;True;True;True;True;True;True;True;True;True;True;True;True;True;True;True;True;True;True;True;True;True;True;True;True;True;True;True;True</t>
  </si>
  <si>
    <t xml:space="preserve">49;50</t>
  </si>
  <si>
    <t xml:space="preserve">76;807</t>
  </si>
  <si>
    <t xml:space="preserve">P00748</t>
  </si>
  <si>
    <t xml:space="preserve">Coagulation factor XII;Coagulation factor XIIa heavy chain;Beta-factor XIIa part 1;Coagulation factor XIIa light chain</t>
  </si>
  <si>
    <t xml:space="preserve">F12</t>
  </si>
  <si>
    <t xml:space="preserve">P01008;Q8TCE1;P41361;CON__P41361</t>
  </si>
  <si>
    <t xml:space="preserve">P01008</t>
  </si>
  <si>
    <t xml:space="preserve">Antithrombin-III</t>
  </si>
  <si>
    <t xml:space="preserve">SERPINC1</t>
  </si>
  <si>
    <t xml:space="preserve">51;52;53;54</t>
  </si>
  <si>
    <t xml:space="preserve">283;284;370;455</t>
  </si>
  <si>
    <t xml:space="preserve">P01009;P01009-2;P01009-3</t>
  </si>
  <si>
    <t xml:space="preserve">Alpha-1-antitrypsin;Short peptide from AAT</t>
  </si>
  <si>
    <t xml:space="preserve">SERPINA1</t>
  </si>
  <si>
    <t xml:space="preserve">0;1;2;3;4</t>
  </si>
  <si>
    <t xml:space="preserve">250;266;375;382;398</t>
  </si>
  <si>
    <t xml:space="preserve">P01011;G3V3A0;G3V595;P01011-2;A0A087WY93</t>
  </si>
  <si>
    <t xml:space="preserve">P01011;G3V3A0;G3V595</t>
  </si>
  <si>
    <t xml:space="preserve">Alpha-1-antichymotrypsin;Alpha-1-antichymotrypsin His-Pro-less</t>
  </si>
  <si>
    <t xml:space="preserve">SERPINA3</t>
  </si>
  <si>
    <t xml:space="preserve">55;56;57;58</t>
  </si>
  <si>
    <t xml:space="preserve">204;205;284;290</t>
  </si>
  <si>
    <t xml:space="preserve">P01019</t>
  </si>
  <si>
    <t xml:space="preserve">Angiotensinogen;Angiotensin-1;Angiotensin-2;Angiotensin-3;Angiotensin-4;Angiotensin 1-9;Angiotensin 1-7;Angiotensin 1-5;Angiotensin 1-4</t>
  </si>
  <si>
    <t xml:space="preserve">AGT</t>
  </si>
  <si>
    <t xml:space="preserve">True;True;True;True;True;True;True;True;True</t>
  </si>
  <si>
    <t xml:space="preserve">P01023;H0YFH1;ENSEMBL:ENSBTAP00000024146;CON__ENSEMBL:ENSBTAP00000024146;F8W7L3;F5H1E8</t>
  </si>
  <si>
    <t xml:space="preserve">P01023</t>
  </si>
  <si>
    <t xml:space="preserve">Alpha-2-macroglobulin</t>
  </si>
  <si>
    <t xml:space="preserve">A2M</t>
  </si>
  <si>
    <t xml:space="preserve"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</si>
  <si>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 xml:space="preserve">59;60;61;62;63;64;65</t>
  </si>
  <si>
    <t xml:space="preserve">32;101;666;697;713;1314;1378</t>
  </si>
  <si>
    <t xml:space="preserve">P01024;M0QYC8;M0QXZ3;M0R0Q9;M0R1Q1;O95568</t>
  </si>
  <si>
    <t xml:space="preserve">P01024</t>
  </si>
  <si>
    <t xml:space="preserve"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</si>
  <si>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 xml:space="preserve">C3</t>
  </si>
  <si>
    <t xml:space="preserve"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</si>
  <si>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 xml:space="preserve">66;67;68;69;70;71;72;73</t>
  </si>
  <si>
    <t xml:space="preserve">164;441;495;581;990;1384;1400;1563</t>
  </si>
  <si>
    <t xml:space="preserve">P01031;Q1A7A4;CON__Q1A7A4</t>
  </si>
  <si>
    <t xml:space="preserve">P01031</t>
  </si>
  <si>
    <t xml:space="preserve">Complement C5;Complement C5 beta chain;Complement C5 alpha chain;C5a anaphylatoxin;Complement C5 alpha chain</t>
  </si>
  <si>
    <t xml:space="preserve">C5</t>
  </si>
  <si>
    <t xml:space="preserve">True;True;True;True;True;True;True;True;True;True;True;True;True;True;True;True;True;True;True;True;True;True;True;True;True;True;True;True</t>
  </si>
  <si>
    <t xml:space="preserve">P01042;P01042-2;P01042-3;P01045-1;CON__P01045-1;Q2KJ62;P01044-1;CON__Q2KJ62;CON__P01044-1</t>
  </si>
  <si>
    <t xml:space="preserve">P01042;P01042-2;P01042-3</t>
  </si>
  <si>
    <t xml:space="preserve">Kininogen-1;Kininogen-1 heavy chain;T-kinin;Bradykinin;Lysyl-bradykinin;Kininogen-1 light chain;Low molecular weight growth-promoting factor</t>
  </si>
  <si>
    <t xml:space="preserve">KNG1</t>
  </si>
  <si>
    <t xml:space="preserve">P01834</t>
  </si>
  <si>
    <t xml:space="preserve">Ig kappa chain C region</t>
  </si>
  <si>
    <t xml:space="preserve">IGKC</t>
  </si>
  <si>
    <t xml:space="preserve">P01876</t>
  </si>
  <si>
    <t xml:space="preserve">Ig alpha-1 chain C region</t>
  </si>
  <si>
    <t xml:space="preserve">IGHA1</t>
  </si>
  <si>
    <t xml:space="preserve">P02647;F8W696</t>
  </si>
  <si>
    <t xml:space="preserve">Apolipoprotein A-I;Proapolipoprotein A-I;Truncated apolipoprotein A-I</t>
  </si>
  <si>
    <t xml:space="preserve">APOA1</t>
  </si>
  <si>
    <t xml:space="preserve">74;75</t>
  </si>
  <si>
    <t xml:space="preserve">136;172</t>
  </si>
  <si>
    <t xml:space="preserve">P02649;H0Y7L5;E9PEV4;E7ERP7;Q03247;CON__Q03247</t>
  </si>
  <si>
    <t xml:space="preserve">P02649;H0Y7L5;E9PEV4;E7ERP7</t>
  </si>
  <si>
    <t xml:space="preserve">Apolipoprotein E</t>
  </si>
  <si>
    <t xml:space="preserve">APOE</t>
  </si>
  <si>
    <t xml:space="preserve">V9GYM3;P02652;V9GYG9;V9GYE3;V9GYC1;V9GYS1</t>
  </si>
  <si>
    <t xml:space="preserve">Apolipoprotein A-II;Proapolipoprotein A-II;Truncated apolipoprotein A-II</t>
  </si>
  <si>
    <t xml:space="preserve">APOA2</t>
  </si>
  <si>
    <t xml:space="preserve">P02743</t>
  </si>
  <si>
    <t xml:space="preserve">Serum amyloid P-component;Serum amyloid P-component(1-203)</t>
  </si>
  <si>
    <t xml:space="preserve">APCS</t>
  </si>
  <si>
    <t xml:space="preserve">P02748;Q3MHN2;CON__Q3MHN2</t>
  </si>
  <si>
    <t xml:space="preserve">P02748</t>
  </si>
  <si>
    <t xml:space="preserve">Complement component C9;Complement component C9a;Complement component C9b</t>
  </si>
  <si>
    <t xml:space="preserve">C9</t>
  </si>
  <si>
    <t xml:space="preserve">True;True;True;True;True;True;True;True;True;True;True;True;True;True</t>
  </si>
  <si>
    <t xml:space="preserve">P02749;J3QRN2;J3QLI0;J3KS17;P17690;CON__P17690</t>
  </si>
  <si>
    <t xml:space="preserve">P02749;J3QRN2</t>
  </si>
  <si>
    <t xml:space="preserve">Beta-2-glycoprotein 1</t>
  </si>
  <si>
    <t xml:space="preserve">APOH</t>
  </si>
  <si>
    <t xml:space="preserve">True;True;True;True;True;True;True;True;True;True;True;True;True</t>
  </si>
  <si>
    <t xml:space="preserve">P02750</t>
  </si>
  <si>
    <t xml:space="preserve">Leucine-rich alpha-2-glycoprotein</t>
  </si>
  <si>
    <t xml:space="preserve">LRG1</t>
  </si>
  <si>
    <t xml:space="preserve">True;True;True;True;True;True;True;True;True;True;True</t>
  </si>
  <si>
    <t xml:space="preserve">P02751-14;P02751-8;P02751-3;P02751;P02751-9;P02751-17;P02751-7;P02751-15;P02751-10;P02751-13;P02751-11;P02751-6;P02751-5;P02751-12;P02751-4;H0Y7Z1;P02751-2;P02751-16;H0Y4K8</t>
  </si>
  <si>
    <t xml:space="preserve">P02751-14;P02751-8;P02751-3;P02751;P02751-9;P02751-17;P02751-7;P02751-15;P02751-10;P02751-13;P02751-11;P02751-6;P02751-5;P02751-12;P02751-4;H0Y7Z1</t>
  </si>
  <si>
    <t xml:space="preserve">Fibronectin;Anastellin;Ugl-Y1;Ugl-Y2;Ugl-Y3</t>
  </si>
  <si>
    <t xml:space="preserve">FN1</t>
  </si>
  <si>
    <t xml:space="preserve">True;True;True;True;True;True;True;True;True;True;True;True;True;True;True;True;True;True;True;True;True;True;True;True;True;True;True;True;True;True;True;True;True;True;True;True;True;True;True;True;True;True;True;True;True;True;True</t>
  </si>
  <si>
    <t xml:space="preserve">Q5VY30;P02753</t>
  </si>
  <si>
    <t xml:space="preserve">Retinol-binding protein 4;Plasma retinol-binding protein(1-182);Plasma retinol-binding protein(1-181);Plasma retinol-binding protein(1-179);Plasma retinol-binding protein(1-176)</t>
  </si>
  <si>
    <t xml:space="preserve">RBP4</t>
  </si>
  <si>
    <t xml:space="preserve">P02760;S4R3Y4;S4R471</t>
  </si>
  <si>
    <t xml:space="preserve">Protein AMBP;Alpha-1-microglobulin;Inter-alpha-trypsin inhibitor light chain;Trypstatin</t>
  </si>
  <si>
    <t xml:space="preserve">AMBP</t>
  </si>
  <si>
    <t xml:space="preserve">True;True;True;True;True;True;True;True</t>
  </si>
  <si>
    <t xml:space="preserve">P02763</t>
  </si>
  <si>
    <t xml:space="preserve">Alpha-1-acid glycoprotein 1</t>
  </si>
  <si>
    <t xml:space="preserve">ORM1</t>
  </si>
  <si>
    <t xml:space="preserve">P02765;C9JV77;P12763;CON__P12763</t>
  </si>
  <si>
    <t xml:space="preserve">P02765;C9JV77</t>
  </si>
  <si>
    <t xml:space="preserve">Alpha-2-HS-glycoprotein;Alpha-2-HS-glycoprotein chain A;Alpha-2-HS-glycoprotein chain B</t>
  </si>
  <si>
    <t xml:space="preserve">AHSG</t>
  </si>
  <si>
    <t xml:space="preserve">P02766;A0A087WV45;A0A087WT59;ENSEMBL:ENSBTAP00000025008;CON__ENSEMBL:ENSBTAP00000025008</t>
  </si>
  <si>
    <t xml:space="preserve">P02766;A0A087WV45;A0A087WT59</t>
  </si>
  <si>
    <t xml:space="preserve">Transthyretin</t>
  </si>
  <si>
    <t xml:space="preserve">TTR</t>
  </si>
  <si>
    <t xml:space="preserve">P02774;P02774-3;P02774-2</t>
  </si>
  <si>
    <t xml:space="preserve">Vitamin D-binding protein</t>
  </si>
  <si>
    <t xml:space="preserve">GC</t>
  </si>
  <si>
    <t xml:space="preserve">P02775</t>
  </si>
  <si>
    <t xml:space="preserve"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</si>
  <si>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 xml:space="preserve">PPBP</t>
  </si>
  <si>
    <t xml:space="preserve">P02787;H7C5E8;F8WCI6;C9JB55;C9JVG0;F8WEK9;Q2HJF0;CON__Q2HJF0;F8WC57;Q29443;CON__Q29443;Q0IIK2;CON__Q0IIK2</t>
  </si>
  <si>
    <t xml:space="preserve">P02787</t>
  </si>
  <si>
    <t xml:space="preserve">Serotransferrin</t>
  </si>
  <si>
    <t xml:space="preserve">TF</t>
  </si>
  <si>
    <t xml:space="preserve">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</si>
  <si>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 xml:space="preserve">80;81;82;83;84;85</t>
  </si>
  <si>
    <t xml:space="preserve">128;332;401;408;483;518</t>
  </si>
  <si>
    <t xml:space="preserve">P02790;Q9BS19</t>
  </si>
  <si>
    <t xml:space="preserve">Hemopexin</t>
  </si>
  <si>
    <t xml:space="preserve">HPX</t>
  </si>
  <si>
    <t xml:space="preserve">86;87;88</t>
  </si>
  <si>
    <t xml:space="preserve">177;229;409</t>
  </si>
  <si>
    <t xml:space="preserve">P04003;A6PVY5;F2Z2V7</t>
  </si>
  <si>
    <t xml:space="preserve">P04003</t>
  </si>
  <si>
    <t xml:space="preserve">C4b-binding protein alpha chain</t>
  </si>
  <si>
    <t xml:space="preserve">C4BPA</t>
  </si>
  <si>
    <t xml:space="preserve">P04004;F5GX75;Q3ZBS7;CON__Q3ZBS7;H0YJW9</t>
  </si>
  <si>
    <t xml:space="preserve">P04004</t>
  </si>
  <si>
    <t xml:space="preserve">Vitronectin;Vitronectin V65 subunit;Vitronectin V10 subunit;Somatomedin-B</t>
  </si>
  <si>
    <t xml:space="preserve">VTN</t>
  </si>
  <si>
    <t xml:space="preserve">P04114;A8MUN2;ENSEMBL:ENSBTAP00000032840;CON__ENSEMBL:ENSBTAP00000032840;E9PEW5</t>
  </si>
  <si>
    <t xml:space="preserve">P04114</t>
  </si>
  <si>
    <t xml:space="preserve">Apolipoprotein B-100;Apolipoprotein B-48</t>
  </si>
  <si>
    <t xml:space="preserve">APOB</t>
  </si>
  <si>
    <t xml:space="preserve"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</si>
  <si>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 xml:space="preserve">90;91;92;93;94;95;96;97;98;99;100</t>
  </si>
  <si>
    <t xml:space="preserve">126;564;566;812;869;1221;2042;2523;2526;3280;3421</t>
  </si>
  <si>
    <t xml:space="preserve">P04196</t>
  </si>
  <si>
    <t xml:space="preserve">Histidine-rich glycoprotein</t>
  </si>
  <si>
    <t xml:space="preserve">HRG</t>
  </si>
  <si>
    <t xml:space="preserve">P04217;P04217-2;M0R009;Q2KJF1;CON__Q2KJF1</t>
  </si>
  <si>
    <t xml:space="preserve">P04217;P04217-2;M0R009</t>
  </si>
  <si>
    <t xml:space="preserve">Alpha-1B-glycoprotein</t>
  </si>
  <si>
    <t xml:space="preserve">A1BG</t>
  </si>
  <si>
    <t xml:space="preserve">P05154;G3V264;G3V2M1;G3V5Q9;G3V5I3;G3V482;G3V265</t>
  </si>
  <si>
    <t xml:space="preserve">P05154;G3V264;G3V2M1;G3V5Q9</t>
  </si>
  <si>
    <t xml:space="preserve">Plasma serine protease inhibitor</t>
  </si>
  <si>
    <t xml:space="preserve">SERPINA5</t>
  </si>
  <si>
    <t xml:space="preserve">P05155-2;P05155;P05155-3;E9PGN7;H9KV48;P50448;CON__P50448</t>
  </si>
  <si>
    <t xml:space="preserve">P05155-2;P05155;P05155-3;E9PGN7;H9KV48</t>
  </si>
  <si>
    <t xml:space="preserve">Plasma protease C1 inhibitor</t>
  </si>
  <si>
    <t xml:space="preserve">SERPING1</t>
  </si>
  <si>
    <t xml:space="preserve">P05160</t>
  </si>
  <si>
    <t xml:space="preserve">Coagulation factor XIII B chain</t>
  </si>
  <si>
    <t xml:space="preserve">F13B</t>
  </si>
  <si>
    <t xml:space="preserve">P05543;Q9TT36;CON__Q9TT36</t>
  </si>
  <si>
    <t xml:space="preserve">P05543</t>
  </si>
  <si>
    <t xml:space="preserve">Thyroxine-binding globulin</t>
  </si>
  <si>
    <t xml:space="preserve">SERPINA7</t>
  </si>
  <si>
    <t xml:space="preserve">P05546;ENSEMBL:ENSBTAP00000018574;CON__ENSEMBL:ENSBTAP00000018574</t>
  </si>
  <si>
    <t xml:space="preserve">P05546</t>
  </si>
  <si>
    <t xml:space="preserve">Heparin cofactor 2</t>
  </si>
  <si>
    <t xml:space="preserve">SERPIND1</t>
  </si>
  <si>
    <t xml:space="preserve">P06276;F8WF14;F8WEX7;H0Y885;H7C4Y0</t>
  </si>
  <si>
    <t xml:space="preserve">P06276;F8WF14;F8WEX7</t>
  </si>
  <si>
    <t xml:space="preserve">Cholinesterase;Carboxylic ester hydrolase</t>
  </si>
  <si>
    <t xml:space="preserve">BCHE</t>
  </si>
  <si>
    <t xml:space="preserve">P06727;Q32PJ2;CON__Q32PJ2</t>
  </si>
  <si>
    <t xml:space="preserve">P06727</t>
  </si>
  <si>
    <t xml:space="preserve">Apolipoprotein A-IV</t>
  </si>
  <si>
    <t xml:space="preserve">APOA4</t>
  </si>
  <si>
    <t xml:space="preserve">True;True;True;True;True;True;True;True;True;True;True;True;True;True;True;True;True;True;True;True;True;True</t>
  </si>
  <si>
    <t xml:space="preserve">P07225;G5E9F8;H7BXT0;P07224;CON__P07224</t>
  </si>
  <si>
    <t xml:space="preserve">P07225;G5E9F8</t>
  </si>
  <si>
    <t xml:space="preserve">Vitamin K-dependent protein S</t>
  </si>
  <si>
    <t xml:space="preserve">PROS1</t>
  </si>
  <si>
    <t xml:space="preserve">P07357</t>
  </si>
  <si>
    <t xml:space="preserve">Complement component C8 alpha chain</t>
  </si>
  <si>
    <t xml:space="preserve">C8A</t>
  </si>
  <si>
    <t xml:space="preserve">P07358;F5GY80;F5H7G1</t>
  </si>
  <si>
    <t xml:space="preserve">Complement component C8 beta chain</t>
  </si>
  <si>
    <t xml:space="preserve">C8B</t>
  </si>
  <si>
    <t xml:space="preserve">P07360;Q5SQ08</t>
  </si>
  <si>
    <t xml:space="preserve">P07360</t>
  </si>
  <si>
    <t xml:space="preserve">Complement component C8 gamma chain</t>
  </si>
  <si>
    <t xml:space="preserve">C8G</t>
  </si>
  <si>
    <t xml:space="preserve">P08185;G3V350;G3V4V7</t>
  </si>
  <si>
    <t xml:space="preserve">P08185;G3V350</t>
  </si>
  <si>
    <t xml:space="preserve">Corticosteroid-binding globulin</t>
  </si>
  <si>
    <t xml:space="preserve">SERPINA6</t>
  </si>
  <si>
    <t xml:space="preserve">P08603;A0A0D9SG88;P08603-2;Q5TFM2;A0A087WYK9;Q6NSD3;Q02985-2;Q02985</t>
  </si>
  <si>
    <t xml:space="preserve">P08603</t>
  </si>
  <si>
    <t xml:space="preserve">Complement factor H</t>
  </si>
  <si>
    <t xml:space="preserve">CFH</t>
  </si>
  <si>
    <t xml:space="preserve">True;True;True;True;True;True;True;True;True;True;True;True;True;True;True;True;True;True;True;True;True;True;True;True;True;True;True;True;True;True;True;True;True;True;True;True;True;True;True;True;True;True;True;True;True;True;True;True;True;True</t>
  </si>
  <si>
    <t xml:space="preserve">20;106;107;108</t>
  </si>
  <si>
    <t xml:space="preserve">64;162;239;1174</t>
  </si>
  <si>
    <t xml:space="preserve">+</t>
  </si>
  <si>
    <t xml:space="preserve">P08697;A0A0G2JPA8;P08697-2;C9JMH6;A0A0J9YY65;C9JPV4;A0A0J9YWQ3;P28800;CON__P28800</t>
  </si>
  <si>
    <t xml:space="preserve">P08697;A0A0G2JPA8;P08697-2;C9JMH6;A0A0J9YY65;C9JPV4;A0A0J9YWQ3</t>
  </si>
  <si>
    <t xml:space="preserve">Alpha-2-antiplasmin</t>
  </si>
  <si>
    <t xml:space="preserve">SERPINF2</t>
  </si>
  <si>
    <t xml:space="preserve">P0C0L4</t>
  </si>
  <si>
    <t xml:space="preserve">Complement C4-A;Complement C4 beta chain;Complement C4-A alpha chain;C4a anaphylatoxin;C4b-A;C4d-A;Complement C4 gamma chain</t>
  </si>
  <si>
    <t xml:space="preserve">C4A</t>
  </si>
  <si>
    <t xml:space="preserve">False;False;False;False;False;False;False;False;False;False;False;False;False;False;False;False;False;False;False;False;False;False;False;False;False;False;False;False;False;False;False;False;False;False;True;False;False;False;False;False;False;False;False;False;False;False;False;False;False;False;False;False;False;False;False;False;False;False;False;False;False;False;False;False</t>
  </si>
  <si>
    <t xml:space="preserve">13;14;15;16</t>
  </si>
  <si>
    <t xml:space="preserve">167;177;328;968</t>
  </si>
  <si>
    <t xml:space="preserve">P0C0L5;F5GXS0</t>
  </si>
  <si>
    <t xml:space="preserve">Complement C4-B;Complement C4 beta chain;Complement C4-B alpha chain;C4a anaphylatoxin;C4b-B;C4d-B;Complement C4 gamma chain</t>
  </si>
  <si>
    <t xml:space="preserve">C4B</t>
  </si>
  <si>
    <t xml:space="preserve"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</si>
  <si>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 xml:space="preserve">P10643;Q29RQ1;CON__Q29RQ1</t>
  </si>
  <si>
    <t xml:space="preserve">P10643</t>
  </si>
  <si>
    <t xml:space="preserve">Complement component C7</t>
  </si>
  <si>
    <t xml:space="preserve">C7</t>
  </si>
  <si>
    <t xml:space="preserve">P10909-4;P10909;P10909-5;P10909-2;E7ERK6;H0YC35;H0YLK8;P10909-3;E7ETB4;E5RG36;E5RGB0;E5RH61;E5RJZ5;H0YAS8</t>
  </si>
  <si>
    <t xml:space="preserve">P10909-4;P10909;P10909-5;P10909-2;E7ERK6;H0YC35;H0YLK8;P10909-3</t>
  </si>
  <si>
    <t xml:space="preserve">Clusterin;Clusterin beta chain;Clusterin alpha chain;Clusterin</t>
  </si>
  <si>
    <t xml:space="preserve">CLU</t>
  </si>
  <si>
    <t xml:space="preserve">P13671;C9JC72</t>
  </si>
  <si>
    <t xml:space="preserve">P13671</t>
  </si>
  <si>
    <t xml:space="preserve">Complement component C6</t>
  </si>
  <si>
    <t xml:space="preserve">C6</t>
  </si>
  <si>
    <t xml:space="preserve">True;True;True;True;True;True;True;True;True;True;True;True;True;True;True</t>
  </si>
  <si>
    <t xml:space="preserve">P15169;B1AP58;Q2KJ83;CON__Q2KJ83</t>
  </si>
  <si>
    <t xml:space="preserve">P15169</t>
  </si>
  <si>
    <t xml:space="preserve">Carboxypeptidase N catalytic chain</t>
  </si>
  <si>
    <t xml:space="preserve">CPN1</t>
  </si>
  <si>
    <t xml:space="preserve">P19652</t>
  </si>
  <si>
    <t xml:space="preserve">Alpha-1-acid glycoprotein 2</t>
  </si>
  <si>
    <t xml:space="preserve">ORM2</t>
  </si>
  <si>
    <t xml:space="preserve">False;True;True;True;True;False;True;True;False</t>
  </si>
  <si>
    <t xml:space="preserve">Q5T985;P19823;Q5T987;Q9TRI1;CON__Q9TRI1</t>
  </si>
  <si>
    <t xml:space="preserve">Q5T985;P19823</t>
  </si>
  <si>
    <t xml:space="preserve">Inter-alpha-trypsin inhibitor heavy chain H2</t>
  </si>
  <si>
    <t xml:space="preserve">ITIH2</t>
  </si>
  <si>
    <t xml:space="preserve">True;True;True;True;True;True;True;True;True;True;True;True;True;True;True;True;True;True;True</t>
  </si>
  <si>
    <t xml:space="preserve">P19827;P19827-2;F8WAS2;P19827-3;H7C0N0;Q0VCM5;CON__Q0VCM5;H7C5I0</t>
  </si>
  <si>
    <t xml:space="preserve">P19827;P19827-2</t>
  </si>
  <si>
    <t xml:space="preserve">Inter-alpha-trypsin inhibitor heavy chain H1</t>
  </si>
  <si>
    <t xml:space="preserve">ITIH1</t>
  </si>
  <si>
    <t xml:space="preserve">P20742;P20742-2;F5GXY0</t>
  </si>
  <si>
    <t xml:space="preserve">P20742;P20742-2</t>
  </si>
  <si>
    <t xml:space="preserve">Pregnancy zone protein</t>
  </si>
  <si>
    <t xml:space="preserve">PZP</t>
  </si>
  <si>
    <t xml:space="preserve">False;False;True;False;True;True;True;True;False;True;True;True;True;True;False;True;True;False;True;True;True;True;True;False;True;True;True;False;True</t>
  </si>
  <si>
    <t xml:space="preserve">P20851-2;P20851;Q5VVQ7</t>
  </si>
  <si>
    <t xml:space="preserve">P20851-2;P20851</t>
  </si>
  <si>
    <t xml:space="preserve">C4b-binding protein beta chain</t>
  </si>
  <si>
    <t xml:space="preserve">C4BPB</t>
  </si>
  <si>
    <t xml:space="preserve">P22792</t>
  </si>
  <si>
    <t xml:space="preserve">Carboxypeptidase N subunit 2</t>
  </si>
  <si>
    <t xml:space="preserve">CPN2</t>
  </si>
  <si>
    <t xml:space="preserve">P23142;P23142-2;P23142-3;P23142-4;B1AHL2;B1AHM7;B1AHM9;B1AHM6;B1AHN3;ENSEMBL:ENSBTAP00000016046;CON__ENSEMBL:ENSBTAP00000016046;B1AHM8;H7C1M6</t>
  </si>
  <si>
    <t xml:space="preserve">P23142;P23142-2;P23142-3;P23142-4;B1AHL2</t>
  </si>
  <si>
    <t xml:space="preserve">Fibulin-1</t>
  </si>
  <si>
    <t xml:space="preserve">FBLN1</t>
  </si>
  <si>
    <t xml:space="preserve">P25311;C9JEV0;H7BZJ8</t>
  </si>
  <si>
    <t xml:space="preserve">P25311;C9JEV0</t>
  </si>
  <si>
    <t xml:space="preserve">Zinc-alpha-2-glycoprotein</t>
  </si>
  <si>
    <t xml:space="preserve">AZGP1</t>
  </si>
  <si>
    <t xml:space="preserve">P27169;F8WF42</t>
  </si>
  <si>
    <t xml:space="preserve">P27169</t>
  </si>
  <si>
    <t xml:space="preserve">Serum paraoxonase/arylesterase 1</t>
  </si>
  <si>
    <t xml:space="preserve">PON1</t>
  </si>
  <si>
    <t xml:space="preserve">P29622</t>
  </si>
  <si>
    <t xml:space="preserve">Kallistatin</t>
  </si>
  <si>
    <t xml:space="preserve">SERPINA4</t>
  </si>
  <si>
    <t xml:space="preserve">P35858;P35858-2</t>
  </si>
  <si>
    <t xml:space="preserve">Insulin-like growth factor-binding protein complex acid labile subunit</t>
  </si>
  <si>
    <t xml:space="preserve">IGFALS</t>
  </si>
  <si>
    <t xml:space="preserve">P36955;I3L4Z0;Q95121;CON__Q95121;I3L4F9;I3L107;I3L2R7;I3L4N7;I3L3Z3;I3L425;I3L1U4</t>
  </si>
  <si>
    <t xml:space="preserve">P36955</t>
  </si>
  <si>
    <t xml:space="preserve">Pigment epithelium-derived factor</t>
  </si>
  <si>
    <t xml:space="preserve">SERPINF1</t>
  </si>
  <si>
    <t xml:space="preserve">P43652;REFSEQ:XP_585019;CON__REFSEQ:XP_585019</t>
  </si>
  <si>
    <t xml:space="preserve">P43652</t>
  </si>
  <si>
    <t xml:space="preserve">Afamin</t>
  </si>
  <si>
    <t xml:space="preserve">AFM</t>
  </si>
  <si>
    <t xml:space="preserve">True;True;True;True;True;True;True;True;True;True;True;True;True;True;True;True;True</t>
  </si>
  <si>
    <t xml:space="preserve">P51884;Q05443;CON__Q05443</t>
  </si>
  <si>
    <t xml:space="preserve">P51884</t>
  </si>
  <si>
    <t xml:space="preserve">Lumican</t>
  </si>
  <si>
    <t xml:space="preserve">LUM</t>
  </si>
  <si>
    <t xml:space="preserve">P55058-3;P55058-2;P55058;P55058-4</t>
  </si>
  <si>
    <t xml:space="preserve">Phospholipid transfer protein</t>
  </si>
  <si>
    <t xml:space="preserve">PLTP</t>
  </si>
  <si>
    <t xml:space="preserve">P68871;F8W6P5;A0A0J9YWK4</t>
  </si>
  <si>
    <t xml:space="preserve">P68871;F8W6P5</t>
  </si>
  <si>
    <t xml:space="preserve">Hemoglobin subunit beta;LVV-hemorphin-7;Spinorphin</t>
  </si>
  <si>
    <t xml:space="preserve">HBB</t>
  </si>
  <si>
    <t xml:space="preserve">P69905;G3V1N2</t>
  </si>
  <si>
    <t xml:space="preserve">Hemoglobin subunit alpha</t>
  </si>
  <si>
    <t xml:space="preserve">HBA1;HBA2</t>
  </si>
  <si>
    <t xml:space="preserve">P80108;P80108-2</t>
  </si>
  <si>
    <t xml:space="preserve">P80108</t>
  </si>
  <si>
    <t xml:space="preserve">Phosphatidylinositol-glycan-specific phospholipase D</t>
  </si>
  <si>
    <t xml:space="preserve">GPLD1</t>
  </si>
  <si>
    <t xml:space="preserve">P80748;A0A075B6K5</t>
  </si>
  <si>
    <t xml:space="preserve">Ig lambda chain V-III region LOI</t>
  </si>
  <si>
    <t xml:space="preserve">IGLV3-9</t>
  </si>
  <si>
    <t xml:space="preserve">Q08380;K7ESM3;K7EKQ5;K7EP36;K7ERZ6;K7EJY8;K7EJD3</t>
  </si>
  <si>
    <t xml:space="preserve">Q08380</t>
  </si>
  <si>
    <t xml:space="preserve">Galectin-3-binding protein</t>
  </si>
  <si>
    <t xml:space="preserve">LGALS3BP</t>
  </si>
  <si>
    <t xml:space="preserve">Q15485;Q15485-2</t>
  </si>
  <si>
    <t xml:space="preserve">Ficolin-2</t>
  </si>
  <si>
    <t xml:space="preserve">FCN2</t>
  </si>
  <si>
    <t xml:space="preserve">Q16610;Q16610-4;Q16610-2</t>
  </si>
  <si>
    <t xml:space="preserve">Extracellular matrix protein 1</t>
  </si>
  <si>
    <t xml:space="preserve">ECM1</t>
  </si>
  <si>
    <t xml:space="preserve">Q96PD5;Q96PD5-2;ENSEMBL:ENSBTAP00000016285;CON__ENSEMBL:ENSBTAP00000016285;M0R2W8</t>
  </si>
  <si>
    <t xml:space="preserve">Q96PD5;Q96PD5-2</t>
  </si>
  <si>
    <t xml:space="preserve">N-acetylmuramoyl-L-alanine amidase</t>
  </si>
  <si>
    <t xml:space="preserve">PGLYRP2</t>
  </si>
  <si>
    <r>
      <rPr>
        <b val="true"/>
        <i val="true"/>
        <sz val="11"/>
        <color rgb="FF000000"/>
        <rFont val="Calibri"/>
        <family val="2"/>
        <charset val="1"/>
      </rPr>
      <t xml:space="preserve">p-</t>
    </r>
    <r>
      <rPr>
        <b val="true"/>
        <sz val="11"/>
        <color rgb="FF000000"/>
        <rFont val="Calibri"/>
        <family val="2"/>
        <charset val="1"/>
      </rPr>
      <t xml:space="preserve">value BD - HC</t>
    </r>
  </si>
  <si>
    <r>
      <rPr>
        <b val="true"/>
        <i val="true"/>
        <sz val="11"/>
        <color rgb="FF000000"/>
        <rFont val="Calibri"/>
        <family val="2"/>
        <charset val="1"/>
      </rPr>
      <t xml:space="preserve">p-</t>
    </r>
    <r>
      <rPr>
        <b val="true"/>
        <sz val="11"/>
        <color rgb="FF000000"/>
        <rFont val="Calibri"/>
        <family val="2"/>
        <charset val="1"/>
      </rPr>
      <t xml:space="preserve">value HC - SCZ</t>
    </r>
  </si>
  <si>
    <r>
      <rPr>
        <b val="true"/>
        <i val="true"/>
        <sz val="11"/>
        <color rgb="FF000000"/>
        <rFont val="Calibri"/>
        <family val="2"/>
        <charset val="1"/>
      </rPr>
      <t xml:space="preserve">p-</t>
    </r>
    <r>
      <rPr>
        <b val="true"/>
        <sz val="11"/>
        <color rgb="FF000000"/>
        <rFont val="Calibri"/>
        <family val="2"/>
        <charset val="1"/>
      </rPr>
      <t xml:space="preserve">value BD - SCZ</t>
    </r>
  </si>
  <si>
    <r>
      <rPr>
        <b val="true"/>
        <i val="true"/>
        <sz val="11"/>
        <color rgb="FF000000"/>
        <rFont val="Calibri"/>
        <family val="2"/>
        <charset val="1"/>
      </rPr>
      <t xml:space="preserve">p-</t>
    </r>
    <r>
      <rPr>
        <b val="true"/>
        <sz val="11"/>
        <color rgb="FF000000"/>
        <rFont val="Calibri"/>
        <family val="2"/>
        <charset val="1"/>
      </rPr>
      <t xml:space="preserve">value ANOVA</t>
    </r>
  </si>
  <si>
    <t xml:space="preserve">Grupos</t>
  </si>
  <si>
    <t xml:space="preserve">Serum amyloid P-component</t>
  </si>
  <si>
    <t xml:space="preserve">Inter-alpha-trypsin inhibitor heavy chain H4</t>
  </si>
  <si>
    <t xml:space="preserve">Apolipoprotein A-II</t>
  </si>
  <si>
    <t xml:space="preserve">Platelet basic protein</t>
  </si>
  <si>
    <t xml:space="preserve">Haptoglobin</t>
  </si>
  <si>
    <t xml:space="preserve">Glutathione peroxidase 3</t>
  </si>
  <si>
    <t xml:space="preserve">Alpha-1-antitrypsin</t>
  </si>
  <si>
    <t xml:space="preserve">Apolipoprotein A-I</t>
  </si>
  <si>
    <t xml:space="preserve">Alpha-2-HS-glycoprotein</t>
  </si>
  <si>
    <t xml:space="preserve">Fibronectin 1</t>
  </si>
  <si>
    <t xml:space="preserve">Prothrombin</t>
  </si>
  <si>
    <t xml:space="preserve">Apolipoprotein B-100</t>
  </si>
  <si>
    <t xml:space="preserve">Complement C8 alpha chain</t>
  </si>
  <si>
    <t xml:space="preserve">IgJ chain</t>
  </si>
  <si>
    <t xml:space="preserve">Complement factor I</t>
  </si>
  <si>
    <t xml:space="preserve">Clusterin</t>
  </si>
  <si>
    <t xml:space="preserve">Butyrylcholinesterase</t>
  </si>
  <si>
    <t xml:space="preserve">Coagulation factor XII</t>
  </si>
  <si>
    <t xml:space="preserve">Complement C3</t>
  </si>
  <si>
    <t xml:space="preserve">Plasminogen</t>
  </si>
  <si>
    <t xml:space="preserve">Complement C1r subcomponent</t>
  </si>
  <si>
    <t xml:space="preserve">Localization (GeneCards)</t>
  </si>
  <si>
    <t xml:space="preserve">P02751</t>
  </si>
  <si>
    <t xml:space="preserve">extracelllular</t>
  </si>
  <si>
    <t xml:space="preserve"> plasma membrane</t>
  </si>
  <si>
    <t xml:space="preserve"> endoplasmic retuculum</t>
  </si>
  <si>
    <t xml:space="preserve">P06276</t>
  </si>
  <si>
    <t xml:space="preserve"> nucleus</t>
  </si>
  <si>
    <t xml:space="preserve"> endoplasmic reticulum</t>
  </si>
  <si>
    <t xml:space="preserve">P08697</t>
  </si>
  <si>
    <t xml:space="preserve">extracellular</t>
  </si>
  <si>
    <t xml:space="preserve">Q14624</t>
  </si>
  <si>
    <t xml:space="preserve"> mitochondrion</t>
  </si>
  <si>
    <t xml:space="preserve">P02652</t>
  </si>
  <si>
    <t xml:space="preserve"> endosome</t>
  </si>
  <si>
    <t xml:space="preserve"> cytosol</t>
  </si>
  <si>
    <t xml:space="preserve"> lysosome</t>
  </si>
  <si>
    <t xml:space="preserve">P00738</t>
  </si>
  <si>
    <t xml:space="preserve">P22352</t>
  </si>
  <si>
    <t xml:space="preserve">P01009</t>
  </si>
  <si>
    <t xml:space="preserve"> golgi apparatus</t>
  </si>
  <si>
    <t xml:space="preserve">P02647</t>
  </si>
  <si>
    <t xml:space="preserve">P07225</t>
  </si>
  <si>
    <t xml:space="preserve">P02765</t>
  </si>
  <si>
    <t xml:space="preserve">P05090</t>
  </si>
  <si>
    <t xml:space="preserve">P00734</t>
  </si>
  <si>
    <t xml:space="preserve">P00739</t>
  </si>
  <si>
    <t xml:space="preserve">P05155</t>
  </si>
  <si>
    <t xml:space="preserve">P20742</t>
  </si>
  <si>
    <t xml:space="preserve">P02790</t>
  </si>
  <si>
    <t xml:space="preserve"> plasma mebrane</t>
  </si>
  <si>
    <t xml:space="preserve">JCHAIN</t>
  </si>
  <si>
    <t xml:space="preserve">P01591</t>
  </si>
  <si>
    <t xml:space="preserve">P05156</t>
  </si>
  <si>
    <t xml:space="preserve">P10909</t>
  </si>
  <si>
    <t xml:space="preserve">O95445</t>
  </si>
  <si>
    <t xml:space="preserve">P19827</t>
  </si>
  <si>
    <t xml:space="preserve">SAA2-SAA4</t>
  </si>
  <si>
    <t xml:space="preserve">A0A096LPE2</t>
  </si>
  <si>
    <t xml:space="preserve">SAA2-SAA4 Readthrough</t>
  </si>
  <si>
    <t xml:space="preserve">SAA4</t>
  </si>
  <si>
    <t xml:space="preserve">P35542</t>
  </si>
  <si>
    <t xml:space="preserve">P00736</t>
  </si>
  <si>
    <t xml:space="preserve">plasma membrane</t>
  </si>
  <si>
    <t xml:space="preserve">O75636</t>
  </si>
  <si>
    <t xml:space="preserve">endoplasmic reticulum</t>
  </si>
  <si>
    <t xml:space="preserve">P04217</t>
  </si>
  <si>
    <t xml:space="preserve">extracellular;</t>
  </si>
  <si>
    <t xml:space="preserve">extracellular; </t>
  </si>
  <si>
    <t xml:space="preserve">nucleus</t>
  </si>
  <si>
    <t xml:space="preserve"> extracellular</t>
  </si>
  <si>
    <t xml:space="preserve">panther</t>
  </si>
  <si>
    <t xml:space="preserve">protein-containing complex (GO:0032991)</t>
  </si>
  <si>
    <t xml:space="preserve">organelle (GO:0043226)</t>
  </si>
  <si>
    <t xml:space="preserve">extracellular region (GO:0005576)</t>
  </si>
  <si>
    <t xml:space="preserve">cell (GO:0005623)</t>
  </si>
  <si>
    <t xml:space="preserve">INPUT=45</t>
  </si>
  <si>
    <t xml:space="preserve">GO</t>
  </si>
  <si>
    <t xml:space="preserve">QQ</t>
  </si>
  <si>
    <t xml:space="preserve">%</t>
  </si>
  <si>
    <t xml:space="preserve">GO:0005576</t>
  </si>
  <si>
    <t xml:space="preserve">Extracellular</t>
  </si>
  <si>
    <t xml:space="preserve">GO:0005886</t>
  </si>
  <si>
    <t xml:space="preserve">Plasma membrane</t>
  </si>
  <si>
    <t xml:space="preserve">GO:0005783</t>
  </si>
  <si>
    <t xml:space="preserve">Endoplasmatic reticulum</t>
  </si>
  <si>
    <t xml:space="preserve">GO:0043226</t>
  </si>
  <si>
    <t xml:space="preserve">Organelle</t>
  </si>
  <si>
    <t xml:space="preserve">GO:0005829</t>
  </si>
  <si>
    <t xml:space="preserve">Cytosol</t>
  </si>
  <si>
    <t xml:space="preserve">GO:1990777</t>
  </si>
  <si>
    <t xml:space="preserve">Lipoprotein particle</t>
  </si>
  <si>
    <t xml:space="preserve">GO:0005634</t>
  </si>
  <si>
    <t xml:space="preserve">Nucleus</t>
  </si>
  <si>
    <t xml:space="preserve">Cytoplasmic vesicle</t>
  </si>
  <si>
    <t xml:space="preserve">FunRich</t>
  </si>
  <si>
    <t xml:space="preserve">Biological process</t>
  </si>
  <si>
    <t xml:space="preserve">No. of genes in the dataset</t>
  </si>
  <si>
    <t xml:space="preserve">No. of genes in the background dataset</t>
  </si>
  <si>
    <t xml:space="preserve">Percentage of genes</t>
  </si>
  <si>
    <t xml:space="preserve">Fold enrichment</t>
  </si>
  <si>
    <t xml:space="preserve">P-value (Hypergeometric test)</t>
  </si>
  <si>
    <t xml:space="preserve">Bonferroni method</t>
  </si>
  <si>
    <t xml:space="preserve">BH method</t>
  </si>
  <si>
    <t xml:space="preserve">Q-value (Storey-Tibshirani method)</t>
  </si>
  <si>
    <t xml:space="preserve">genes mapped (from input data set)</t>
  </si>
  <si>
    <t xml:space="preserve">GO:0019538</t>
  </si>
  <si>
    <t xml:space="preserve">Protein metabolism</t>
  </si>
  <si>
    <t xml:space="preserve">SERPINF2; APCS; F13B; ITIH4; CPN2; SERPIND1; SERPINA1; PROS1; F2; SERPING1; F12; ITIH1; PLG; CPN1; SERPINC1; </t>
  </si>
  <si>
    <t xml:space="preserve">GO:0002376</t>
  </si>
  <si>
    <t xml:space="preserve">Immune response</t>
  </si>
  <si>
    <t xml:space="preserve">HP; ORM1; CFH; HPR; C8A; C8G; JCHAIN; CFI; CLU; C4BPA; C3; ORM2; C1R; FCN3; </t>
  </si>
  <si>
    <t xml:space="preserve">GO:0006810</t>
  </si>
  <si>
    <t xml:space="preserve">Transport</t>
  </si>
  <si>
    <t xml:space="preserve">APOA2; APOA1; APOD; APOB; HPX; APOM; SAA4; </t>
  </si>
  <si>
    <t xml:space="preserve">GO:0008152</t>
  </si>
  <si>
    <t xml:space="preserve">metabolic process</t>
  </si>
  <si>
    <t xml:space="preserve">GPX3; BCHE; </t>
  </si>
  <si>
    <t xml:space="preserve">GO:0006091</t>
  </si>
  <si>
    <t xml:space="preserve">Energy pathways</t>
  </si>
  <si>
    <t xml:space="preserve">GO:0007154</t>
  </si>
  <si>
    <t xml:space="preserve">Cell communication</t>
  </si>
  <si>
    <t xml:space="preserve">PPBP; AHSG; </t>
  </si>
  <si>
    <t xml:space="preserve">Signal transduction</t>
  </si>
  <si>
    <t xml:space="preserve">Biological_process unknown</t>
  </si>
  <si>
    <t xml:space="preserve">A1BG; </t>
  </si>
  <si>
    <t xml:space="preserve">Cell growth and/or maintenance</t>
  </si>
  <si>
    <t xml:space="preserve">FN1; </t>
  </si>
  <si>
    <t xml:space="preserve">Panther</t>
  </si>
  <si>
    <t xml:space="preserve">cellular process (GO:0009987)</t>
  </si>
  <si>
    <t xml:space="preserve">P04217, P06727, P01008, O75636, P02765, P01024, P01009, P02751, P20742, P00739, P02652, P05546, P05155, P08697, P02790, P00738</t>
  </si>
  <si>
    <t xml:space="preserve">response to stimulus (GO:0050896)</t>
  </si>
  <si>
    <t xml:space="preserve">P04217, P22352, P01024, P02743, P20742, P00739, P00734, P02775, P05090, P35542, A0A096LPE2, P00738</t>
  </si>
  <si>
    <t xml:space="preserve">metabolic process (GO:0008152)</t>
  </si>
  <si>
    <t xml:space="preserve">P01024, P02743, Q14624, P20742, P19827, P02652, P05090, P02790</t>
  </si>
  <si>
    <t xml:space="preserve">C3, APCS, ITIH4, PZP, ITIH1, APOA2, APOD, HPX</t>
  </si>
  <si>
    <r>
      <rPr>
        <sz val="11"/>
        <color rgb="FF7F7F7F"/>
        <rFont val="Calibri"/>
        <family val="2"/>
        <charset val="1"/>
      </rPr>
      <t xml:space="preserve">biological regulation</t>
    </r>
    <r>
      <rPr>
        <sz val="11"/>
        <color rgb="FF000000"/>
        <rFont val="Calibri"/>
        <family val="2"/>
        <charset val="1"/>
      </rPr>
      <t xml:space="preserve"> (GO:0065007)</t>
    </r>
  </si>
  <si>
    <t xml:space="preserve">P06727, P02765, P00739, P02652, P00738</t>
  </si>
  <si>
    <t xml:space="preserve">localization (GO:0051179)</t>
  </si>
  <si>
    <t xml:space="preserve">P06727, P02652, P02775</t>
  </si>
  <si>
    <t xml:space="preserve">APOA4, APOA2, PPBP</t>
  </si>
  <si>
    <t xml:space="preserve">immune system process (GO:0002376)</t>
  </si>
  <si>
    <t xml:space="preserve">P02743, P02775</t>
  </si>
  <si>
    <t xml:space="preserve">APCS, PPBP</t>
  </si>
  <si>
    <r>
      <rPr>
        <b val="true"/>
        <sz val="11"/>
        <color rgb="FF000000"/>
        <rFont val="Calibri"/>
        <family val="2"/>
        <charset val="1"/>
      </rPr>
      <t xml:space="preserve">multicellular organismal process</t>
    </r>
    <r>
      <rPr>
        <sz val="11"/>
        <color rgb="FF000000"/>
        <rFont val="Calibri"/>
        <family val="2"/>
        <charset val="1"/>
      </rPr>
      <t xml:space="preserve"> (GO:0032501)</t>
    </r>
  </si>
  <si>
    <t xml:space="preserve">P06727, P02652</t>
  </si>
  <si>
    <t xml:space="preserve">biological adhesion (GO:0022610)</t>
  </si>
  <si>
    <t xml:space="preserve">O75636/ P02751</t>
  </si>
  <si>
    <t xml:space="preserve">FCN3, FN1</t>
  </si>
  <si>
    <t xml:space="preserve">Process</t>
  </si>
  <si>
    <t xml:space="preserve">protein metabolism</t>
  </si>
  <si>
    <t xml:space="preserve">Metabolic process</t>
  </si>
  <si>
    <t xml:space="preserve">immune response</t>
  </si>
  <si>
    <t xml:space="preserve">Cellular process</t>
  </si>
  <si>
    <t xml:space="preserve">Immune system process</t>
  </si>
  <si>
    <t xml:space="preserve">Response to stimulus</t>
  </si>
  <si>
    <t xml:space="preserve">CELL COMUNICATION</t>
  </si>
  <si>
    <t xml:space="preserve">Biological regulation</t>
  </si>
  <si>
    <t xml:space="preserve">Localization</t>
  </si>
  <si>
    <t xml:space="preserve">Biological adhesion</t>
  </si>
  <si>
    <t xml:space="preserve">Multicellular organismal process</t>
  </si>
  <si>
    <t xml:space="preserve">Unknown</t>
  </si>
  <si>
    <t xml:space="preserve">Others</t>
  </si>
  <si>
    <t xml:space="preserve">Pathway identifier</t>
  </si>
  <si>
    <t xml:space="preserve">Pathway name</t>
  </si>
  <si>
    <t xml:space="preserve">#Entities found</t>
  </si>
  <si>
    <t xml:space="preserve">#Entities total</t>
  </si>
  <si>
    <t xml:space="preserve">#Interactors found</t>
  </si>
  <si>
    <t xml:space="preserve">#Interactors total</t>
  </si>
  <si>
    <t xml:space="preserve">Entities ratio</t>
  </si>
  <si>
    <t xml:space="preserve">Entities pValue</t>
  </si>
  <si>
    <t xml:space="preserve">Entities FDR</t>
  </si>
  <si>
    <t xml:space="preserve">#Reactions found</t>
  </si>
  <si>
    <t xml:space="preserve">#Reactions total</t>
  </si>
  <si>
    <t xml:space="preserve">Reactions ratio</t>
  </si>
  <si>
    <t xml:space="preserve">Species identifier</t>
  </si>
  <si>
    <t xml:space="preserve">Species name</t>
  </si>
  <si>
    <t xml:space="preserve">Submitted entities found</t>
  </si>
  <si>
    <t xml:space="preserve">Mapped entities</t>
  </si>
  <si>
    <t xml:space="preserve">Submitted entities hit interactor</t>
  </si>
  <si>
    <t xml:space="preserve">Interacts with</t>
  </si>
  <si>
    <t xml:space="preserve">Found reaction identifiers</t>
  </si>
  <si>
    <t xml:space="preserve">R-HSA-977606</t>
  </si>
  <si>
    <t xml:space="preserve">Regulation of Complement cascade</t>
  </si>
  <si>
    <t xml:space="preserve">Homo sapiens</t>
  </si>
  <si>
    <t xml:space="preserve">P08603;P15169;P00736;P00734;P07360;P22792;P05155;P05156;P01024;P04003;P10909;P07357;P07225</t>
  </si>
  <si>
    <t xml:space="preserve">R-HSA-977359;R-HSA-977615;R-HSA-8853252;R-HSA-964811;R-HSA-8852481;R-HSA-977605;R-HSA-981637;R-HSA-3266557;R-HSA-977602;R-HSA-8852874;R-HSA-8852809;R-HSA-976768;R-HSA-977375;R-HSA-981535;R-HSA-977629;R-HSA-981658;R-HSA-977626;R-HSA-977371;R-HSA-1006169;R-HSA-2530429;R-HSA-977363;R-HSA-977619;R-HSA-981648;R-HSA-444647;R-HSA-8852580;R-HSA-976810;R-HSA-976743;R-HSA-8852716;R-HSA-2530445;R-HSA-8851436;R-HSA-8852266;R-HSA-981728;R-HSA-981665;R-HSA-976801;R-HSA-1006143;R-HSA-9021306;R-HSA-981621;R-HSA-981680</t>
  </si>
  <si>
    <t xml:space="preserve">R-HSA-166658</t>
  </si>
  <si>
    <t xml:space="preserve">Complement cascade</t>
  </si>
  <si>
    <t xml:space="preserve">O75636;P08603;P15169;P00736;P00734;P07360;P22792;P05155;P05156;P01024;P04003;P10909;P07357;P07225</t>
  </si>
  <si>
    <t xml:space="preserve">R-HSA-8853252;R-HSA-8852481;R-HSA-166792;R-HSA-981637;R-HSA-8852874;R-HSA-976768;R-HSA-2855077;R-HSA-173709;R-HSA-981535;R-HSA-981658;R-HSA-173723;R-HSA-173720;R-HSA-981648;R-HSA-173725;R-HSA-166817;R-HSA-976810;R-HSA-173739;R-HSA-2530445;R-HSA-8852266;R-HSA-981539;R-HSA-173740;R-HSA-981665;R-HSA-976801;R-HSA-1006143;R-HSA-173745;R-HSA-173626;R-HSA-173754;R-HSA-173631;R-HSA-981680;R-HSA-977359;R-HSA-977615;R-HSA-166726;R-HSA-964811;R-HSA-173636;R-HSA-977605;R-HSA-3266557;R-HSA-977602;R-HSA-8852809;R-HSA-183122;R-HSA-977375;R-HSA-977629;R-HSA-977626;R-HSA-183126;R-HSA-977371;R-HSA-174551;R-HSA-1006169;R-HSA-183130;R-HSA-2530429;R-HSA-977363;R-HSA-977619;R-HSA-444647;R-HSA-8852580;R-HSA-166753;R-HSA-976743;R-HSA-8852716;R-HSA-8851436;R-HSA-981728;R-HSA-173680;R-HSA-9021306;R-HSA-981621</t>
  </si>
  <si>
    <t xml:space="preserve">R-HSA-114608</t>
  </si>
  <si>
    <t xml:space="preserve">Platelet degranulation </t>
  </si>
  <si>
    <t xml:space="preserve">P04217;Q14624;P19652;P00747;P01009;P02647;P02765;P02775;P05155;P02763;P02751;P08697;P10909;P07225</t>
  </si>
  <si>
    <t xml:space="preserve">R-HSA-482770;R-HSA-481009;R-HSA-481007</t>
  </si>
  <si>
    <t xml:space="preserve">R-HSA-76005</t>
  </si>
  <si>
    <t xml:space="preserve">Response to elevated platelet cytosolic Ca2+</t>
  </si>
  <si>
    <t xml:space="preserve">R-HSA-8957275</t>
  </si>
  <si>
    <t xml:space="preserve">Post-translational protein phosphorylation</t>
  </si>
  <si>
    <t xml:space="preserve">P04114;P05546;P01009;P01008;P02647;P02765;P01024;P02652;P02751</t>
  </si>
  <si>
    <t xml:space="preserve">R-HSA-8952289</t>
  </si>
  <si>
    <t xml:space="preserve">R-HSA-381426</t>
  </si>
  <si>
    <t xml:space="preserve">Regulation of Insulin-like Growth Factor (IGF) transport and uptake by Insulin-like Growth Factor Binding Proteins (IGFBPs)</t>
  </si>
  <si>
    <t xml:space="preserve">P04114;P05546;P00747;P00734;P01009;P01008;P02647;P02765;P01024;P02652;P02751</t>
  </si>
  <si>
    <t xml:space="preserve">R-HSA-381461;R-HSA-381446;R-HSA-8952289</t>
  </si>
  <si>
    <t xml:space="preserve">R-HSA-140877</t>
  </si>
  <si>
    <t xml:space="preserve">Formation of Fibrin Clot (Clotting Cascade)</t>
  </si>
  <si>
    <t xml:space="preserve">P05546;P00748;P00734;P05160;P01008;P05155;P07225</t>
  </si>
  <si>
    <t xml:space="preserve">P02671</t>
  </si>
  <si>
    <t xml:space="preserve">R-HSA-140870;R-HSA-140806;R-HSA-140872;R-HSA-5607002;R-HSA-158419;R-HSA-5604929;R-HSA-5591040;R-HSA-5578883;R-HSA-158357;R-HSA-140696;R-HSA-9015379;R-HSA-140700;R-HSA-158300;R-HSA-141026;R-HSA-140840;R-HSA-158313;R-HSA-140847;R-HSA-141040;R-HSA-9603302;R-HSA-141046;R-HSA-140599;R-HSA-140791;R-HSA-5602080;R-HSA-140664;R-HSA-158137;R-HSA-158399</t>
  </si>
  <si>
    <t xml:space="preserve">R-HSA-76002</t>
  </si>
  <si>
    <t xml:space="preserve">Platelet activation, signaling and aggregation</t>
  </si>
  <si>
    <t xml:space="preserve">P04217;Q14624;P19652;P00747;P00734;P01009;P02647;P02765;P02775;P05155;P02763;P02751;P08697;P10909;P07225</t>
  </si>
  <si>
    <t xml:space="preserve">R-HSA-354149;R-HSA-429415;R-HSA-354087;R-HSA-372705;R-HSA-429441;R-HSA-481007;R-HSA-114697;R-HSA-377644;R-HSA-354124;R-HSA-377641;R-HSA-377640;R-HSA-377643;R-HSA-372693;R-HSA-354165;R-HSA-482770;R-HSA-481009;R-HSA-354066;R-HSA-372697;R-HSA-354073;R-HSA-429529</t>
  </si>
  <si>
    <t xml:space="preserve">R-HSA-168249</t>
  </si>
  <si>
    <t xml:space="preserve">Innate Immune System</t>
  </si>
  <si>
    <t xml:space="preserve">P04114;O75636;P08603;P04217;P19652;P15169;P00738;P00736;P00734;P07360;P01009;P02765;P22792;P05155;P02775;P02763;P05156;P01024;P04003;P10909;P07357;P07225</t>
  </si>
  <si>
    <t xml:space="preserve">P01100</t>
  </si>
  <si>
    <t xml:space="preserve">Q8IUN9</t>
  </si>
  <si>
    <t xml:space="preserve">Q96RD7</t>
  </si>
  <si>
    <t xml:space="preserve">R-HSA-877198;R-HSA-8858500;R-HSA-8853252;R-HSA-8852481;R-HSA-166792;R-HSA-981637;R-HSA-8852874;R-HSA-976768;R-HSA-2855077;R-HSA-173709;R-HSA-981535;R-HSA-450325;R-HSA-981658;R-HSA-173723;R-HSA-173720;R-HSA-981648;R-HSA-173725;R-HSA-166817;R-HSA-976810;R-HSA-8869667;R-HSA-173739;R-HSA-2530445;R-HSA-8852266;R-HSA-981539;R-HSA-173740;R-HSA-981665;R-HSA-976801;R-HSA-1006143;R-HSA-173745;R-HSA-173626;R-HSA-173754;R-HSA-173631;R-HSA-981680;R-HSA-977359;R-HSA-977615;R-HSA-166726;R-HSA-964811;R-HSA-173636;R-HSA-977605;R-HSA-3266557;R-HSA-977602;R-HSA-8852809;R-HSA-183122;R-HSA-977375;R-HSA-977629;R-HSA-977626;R-HSA-183126;R-HSA-6800434;R-HSA-977371;R-HSA-174551;R-HSA-1006169;R-HSA-183130;R-HSA-2530429;R-HSA-977363;R-HSA-977619;R-HSA-444647;R-HSA-8852580;R-HSA-166753;R-HSA-976743;R-HSA-8852716;R-HSA-8851436;R-HSA-981728;R-HSA-450292;R-HSA-173680;R-HSA-9021306;R-HSA-6810643;R-HSA-6798751;R-HSA-6798749;R-HSA-6798748;R-HSA-981621;R-HSA-6798745</t>
  </si>
  <si>
    <t xml:space="preserve">R-HSA-109582</t>
  </si>
  <si>
    <t xml:space="preserve">Hemostasis</t>
  </si>
  <si>
    <t xml:space="preserve">P04114;P05546;P01591;P04217;Q14624;P19652;P00747;P00748;P05160;P00734;P01009;P02647;P01008;P02765;P05155;P02775;P02763;P02751;P08697;P10909;P07225</t>
  </si>
  <si>
    <t xml:space="preserve">P06241</t>
  </si>
  <si>
    <t xml:space="preserve">P05121</t>
  </si>
  <si>
    <t xml:space="preserve">R-HSA-158722;R-HSA-158721;R-HSA-158982;R-HSA-140806;R-HSA-429441;R-HSA-432129;R-HSA-114697;R-HSA-5607002;R-HSA-5604929;R-HSA-354066;R-HSA-158357;R-HSA-158747;R-HSA-140696;R-HSA-158744;R-HSA-354073;R-HSA-158750;R-HSA-140700;R-HSA-159005;R-HSA-432295;R-HSA-354087;R-HSA-158756;R-HSA-377644;R-HSA-140840;R-HSA-435244;R-HSA-377641;R-HSA-158766;R-HSA-377640;R-HSA-140847;R-HSA-377643;R-HSA-158893;R-HSA-140599;R-HSA-158137;R-HSA-8858428;R-HSA-158399;R-HSA-158784;R-HSA-140870;R-HSA-354124;R-HSA-158795;R-HSA-140872;R-HSA-8948034;R-HSA-158925;R-HSA-372693;R-HSA-158419;R-HSA-158800;R-HSA-482770;R-HSA-5591040;R-HSA-202710;R-HSA-5578883;R-HSA-9015379;R-HSA-372697;R-HSA-158942;R-HSA-158300;R-HSA-429529;R-HSA-158941;R-HSA-202723;R-HSA-354149;R-HSA-141026;R-HSA-429415;R-HSA-372705;R-HSA-481007;R-HSA-158313;R-HSA-354165;R-HSA-141040;R-HSA-9603302;R-HSA-141046;R-HSA-140791;R-HSA-5602080;R-HSA-481009;R-HSA-203130;R-HSA-140664;R-HSA-432121</t>
  </si>
  <si>
    <t xml:space="preserve">R-HSA-140875</t>
  </si>
  <si>
    <t xml:space="preserve">Common Pathway of Fibrin Clot Formation</t>
  </si>
  <si>
    <t xml:space="preserve">P05546;P00734;P05160;P01008;P07225</t>
  </si>
  <si>
    <t xml:space="preserve">R-HSA-141026;R-HSA-140870;R-HSA-140806;R-HSA-140840;R-HSA-140872;R-HSA-140847;R-HSA-5607002;R-HSA-141040;R-HSA-5604929;R-HSA-141046;R-HSA-140599;R-HSA-5591040;R-HSA-140791;R-HSA-5602080;R-HSA-5578883;R-HSA-140696;R-HSA-140664;R-HSA-140700</t>
  </si>
  <si>
    <t xml:space="preserve">R-HSA-140837</t>
  </si>
  <si>
    <t xml:space="preserve">Intrinsic Pathway of Fibrin Clot Formation</t>
  </si>
  <si>
    <t xml:space="preserve">P05546;P00748;P00734;P01008;P05155</t>
  </si>
  <si>
    <t xml:space="preserve">R-HSA-158419;R-HSA-9603302;R-HSA-158357;R-HSA-9015379;R-HSA-158137;R-HSA-158313;R-HSA-158399;R-HSA-158300</t>
  </si>
  <si>
    <t xml:space="preserve">R-HSA-975634</t>
  </si>
  <si>
    <t xml:space="preserve">Retinoid metabolism and transport</t>
  </si>
  <si>
    <t xml:space="preserve">P04114;O95445;P06727;P02647;P02652</t>
  </si>
  <si>
    <t xml:space="preserve">P02649</t>
  </si>
  <si>
    <t xml:space="preserve">P01130</t>
  </si>
  <si>
    <t xml:space="preserve">R-HSA-2395764;R-HSA-2187332;R-HSA-2404131;R-HSA-2404140;R-HSA-2424254;R-HSA-2395768;R-HSA-2395784;R-HSA-2423785;R-HSA-2429643;R-HSA-5246478</t>
  </si>
  <si>
    <t xml:space="preserve">R-HSA-8963901</t>
  </si>
  <si>
    <t xml:space="preserve">Chylomicron remodeling</t>
  </si>
  <si>
    <t xml:space="preserve">P04114;P06727;P02647;P02652</t>
  </si>
  <si>
    <t xml:space="preserve">R-HSA-174690;R-HSA-174739;R-HSA-174757</t>
  </si>
  <si>
    <t xml:space="preserve">R-HSA-8963888</t>
  </si>
  <si>
    <t xml:space="preserve">Chylomicron assembly</t>
  </si>
  <si>
    <t xml:space="preserve">R-HSA-174786;R-HSA-174660;R-HSA-174741;R-HSA-174587;R-HSA-174731</t>
  </si>
  <si>
    <t xml:space="preserve">R-HSA-8963899</t>
  </si>
  <si>
    <t xml:space="preserve">Plasma lipoprotein remodeling</t>
  </si>
  <si>
    <t xml:space="preserve">P04180</t>
  </si>
  <si>
    <t xml:space="preserve">P08519</t>
  </si>
  <si>
    <t xml:space="preserve">R-HSA-174690;R-HSA-266310;R-HSA-264678;R-HSA-174757;R-HSA-6784622;R-HSA-266350;R-HSA-176879;R-HSA-266089;R-HSA-266315;R-HSA-174739;R-HSA-264695;R-HSA-264689;R-HSA-349404;R-HSA-266303;R-HSA-266328;R-HSA-266299</t>
  </si>
  <si>
    <t xml:space="preserve">R-HSA-166665</t>
  </si>
  <si>
    <t xml:space="preserve">Terminal pathway of complement</t>
  </si>
  <si>
    <t xml:space="preserve">P07360;P10909;P07357</t>
  </si>
  <si>
    <t xml:space="preserve">R-HSA-173723;R-HSA-173720;R-HSA-173725;R-HSA-173709</t>
  </si>
  <si>
    <t xml:space="preserve">R-HSA-6806667</t>
  </si>
  <si>
    <t xml:space="preserve">Metabolism of fat-soluble vitamins</t>
  </si>
  <si>
    <t xml:space="preserve">R-HSA-8963898</t>
  </si>
  <si>
    <t xml:space="preserve">Plasma lipoprotein assembly</t>
  </si>
  <si>
    <t xml:space="preserve">R-HSA-174786;R-HSA-8866308;R-HSA-174660;R-HSA-8866304;R-HSA-174731;R-HSA-216723;R-HSA-8866327;R-HSA-264758;R-HSA-216727;R-HSA-216757;R-HSA-8866321;R-HSA-174741;R-HSA-216756;R-HSA-174587;R-HSA-349657;R-HSA-8866329</t>
  </si>
  <si>
    <t xml:space="preserve">R-HSA-2187338</t>
  </si>
  <si>
    <t xml:space="preserve">Visual phototransduction</t>
  </si>
  <si>
    <t xml:space="preserve">R-HSA-2173782</t>
  </si>
  <si>
    <t xml:space="preserve">Binding and Uptake of Ligands by Scavenger Receptors</t>
  </si>
  <si>
    <t xml:space="preserve">P04114;P00738;P02790;P01591;P00739;P02647</t>
  </si>
  <si>
    <t xml:space="preserve">R-HSA-2168897;R-HSA-2187264;R-HSA-2230983;R-HSA-2512800;R-HSA-2507854;R-HSA-2197770;R-HSA-2197645;R-HSA-2197646;R-HSA-2168883;R-HSA-2173778;R-HSA-2168885;R-HSA-2168884;R-HSA-2247511;R-HSA-2168887;R-HSA-2203479;R-HSA-2168886;R-HSA-2230938;R-HSA-2168889;R-HSA-2247514;R-HSA-2247512;R-HSA-2247513;R-HSA-2187261;R-HSA-2203516;R-HSA-2981040</t>
  </si>
  <si>
    <t xml:space="preserve">R-HSA-2168880</t>
  </si>
  <si>
    <t xml:space="preserve">Scavenging of heme from plasma</t>
  </si>
  <si>
    <t xml:space="preserve">P00738;P02790;P01591;P00739;P02647</t>
  </si>
  <si>
    <t xml:space="preserve">R-HSA-2168897;R-HSA-2168883;R-HSA-2168885;R-HSA-2230983;R-HSA-2168884;R-HSA-2168887;R-HSA-2168886;R-HSA-2230938;R-HSA-2168889;R-HSA-2203516</t>
  </si>
  <si>
    <t xml:space="preserve">R-HSA-174824</t>
  </si>
  <si>
    <t xml:space="preserve">Plasma lipoprotein assembly, remodeling, and clearance</t>
  </si>
  <si>
    <t xml:space="preserve">R-HSA-8933258;R-HSA-8866308;R-HSA-8865667;R-HSA-264834;R-HSA-171141;R-HSA-8866304;R-HSA-6784622;R-HSA-174731;R-HSA-8858252;R-HSA-8854408;R-HSA-216723;R-HSA-8866327;R-HSA-174739;R-HSA-216727;R-HSA-264848;R-HSA-8866321;R-HSA-174741;R-HSA-8866329;R-HSA-174624;R-HSA-8933292;R-HSA-174757;R-HSA-171059;R-HSA-264758;R-HSA-216757;R-HSA-216756;R-HSA-8854462;R-HSA-6784734;R-HSA-266303;R-HSA-266299;R-HSA-349637;R-HSA-174786;R-HSA-266310;R-HSA-349638;R-HSA-174657;R-HSA-174660;R-HSA-8876366;R-HSA-171087;R-HSA-266315;R-HSA-349404;R-HSA-174808;R-HSA-349657;R-HSA-266328;R-HSA-174690;R-HSA-171106;R-HSA-264678;R-HSA-266350;R-HSA-176879;R-HSA-266089;R-HSA-171122;R-HSA-174706;R-HSA-264695;R-HSA-264689;R-HSA-174587</t>
  </si>
  <si>
    <t xml:space="preserve">R-HSA-6798695</t>
  </si>
  <si>
    <t xml:space="preserve">Neutrophil degranulation</t>
  </si>
  <si>
    <t xml:space="preserve">P00738;P04217;P01009;P02765;P19652;P02775;P02763;P01024</t>
  </si>
  <si>
    <t xml:space="preserve">R-HSA-6800434;R-HSA-6798751;R-HSA-6798749;R-HSA-6798748;R-HSA-6798745</t>
  </si>
  <si>
    <t xml:space="preserve">R-HSA-168256</t>
  </si>
  <si>
    <t xml:space="preserve">Immune System</t>
  </si>
  <si>
    <t xml:space="preserve">P04114;O75636;P08603;P04217;P19652;P15169;P00738;P00736;P00734;P07360;P01009;P02765;P22792;P05155;P02775;P02763;P05156;P01024;P02751;P04003;P10909;P07357;P07225</t>
  </si>
  <si>
    <t xml:space="preserve">P30101</t>
  </si>
  <si>
    <t xml:space="preserve">R-HSA-6785895;R-HSA-877198;R-HSA-8858500;R-HSA-8853252;R-HSA-8852481;R-HSA-166792;R-HSA-981637;R-HSA-8852874;R-HSA-976768;R-HSA-2855077;R-HSA-173709;R-HSA-981535;R-HSA-450325;R-HSA-981658;R-HSA-9605259;R-HSA-173723;R-HSA-173720;R-HSA-981648;R-HSA-173725;R-HSA-166817;R-HSA-976810;R-HSA-8869667;R-HSA-173739;R-HSA-2530445;R-HSA-8852266;R-HSA-981539;R-HSA-173740;R-HSA-981665;R-HSA-976801;R-HSA-1006143;R-HSA-173745;R-HSA-173626;R-HSA-173754;R-HSA-173631;R-HSA-981680;R-HSA-977359;R-HSA-977615;R-HSA-5672980;R-HSA-5672978;R-HSA-166726;R-HSA-964811;R-HSA-173636;R-HSA-977605;R-HSA-3266557;R-HSA-977602;R-HSA-8852809;R-HSA-183122;R-HSA-977375;R-HSA-977629;R-HSA-977626;R-HSA-183126;R-HSA-6800434;R-HSA-977371;R-HSA-174551;R-HSA-1006169;R-HSA-183130;R-HSA-5672972;R-HSA-5672973;R-HSA-2530429;R-HSA-977363;R-HSA-199518;R-HSA-977619;R-HSA-444647;R-HSA-8852580;R-HSA-983148;R-HSA-166753;R-HSA-976743;R-HSA-8852716;R-HSA-8851436;R-HSA-981728;R-HSA-389354;R-HSA-450292;R-HSA-173680;R-HSA-9021306;R-HSA-6810643;R-HSA-983161;R-HSA-6798751;R-HSA-6798749;R-HSA-6798748;R-HSA-981621;R-HSA-6798745</t>
  </si>
  <si>
    <t xml:space="preserve">R-HSA-8964041</t>
  </si>
  <si>
    <t xml:space="preserve">LDL remodeling</t>
  </si>
  <si>
    <t xml:space="preserve">R-HSA-266350;R-HSA-176879</t>
  </si>
  <si>
    <t xml:space="preserve">R-HSA-418594</t>
  </si>
  <si>
    <t xml:space="preserve">G alpha (i) signalling events</t>
  </si>
  <si>
    <t xml:space="preserve">P04114;O95445;P06727;P02647;P02775;P01024;P02652</t>
  </si>
  <si>
    <t xml:space="preserve">P52292</t>
  </si>
  <si>
    <t xml:space="preserve">R-HSA-9619127;R-HSA-2187332;R-HSA-749454;R-HSA-2404131;R-HSA-2404140;R-HSA-2395784;R-HSA-380073;R-HSA-2423785;R-HSA-2429643;R-HSA-2395764;R-HSA-2424254;R-HSA-112282;R-HSA-749456;R-HSA-2395768;R-HSA-5246478</t>
  </si>
  <si>
    <t xml:space="preserve">R-HSA-75205</t>
  </si>
  <si>
    <t xml:space="preserve">Dissolution of Fibrin Clot</t>
  </si>
  <si>
    <t xml:space="preserve">P00747;P08697</t>
  </si>
  <si>
    <t xml:space="preserve">R-HSA-158722;R-HSA-158784;R-HSA-158721;R-HSA-158982;R-HSA-158756;R-HSA-158795;R-HSA-158766;R-HSA-158893;R-HSA-158925;R-HSA-158800;R-HSA-158747;R-HSA-158744;R-HSA-158942;R-HSA-158750;R-HSA-159005;R-HSA-158941</t>
  </si>
  <si>
    <t xml:space="preserve">R-HSA-166663</t>
  </si>
  <si>
    <t xml:space="preserve">Initial triggering of complement</t>
  </si>
  <si>
    <t xml:space="preserve">O75636;P00736;P01024</t>
  </si>
  <si>
    <t xml:space="preserve">R-HSA-166753;R-HSA-166726;R-HSA-173739;R-HSA-166792;R-HSA-981539;R-HSA-2855077;R-HSA-173740;R-HSA-183122;R-HSA-173745;R-HSA-183126;R-HSA-174551;R-HSA-183130;R-HSA-173626;R-HSA-173754;R-HSA-173631</t>
  </si>
  <si>
    <t xml:space="preserve">R-HSA-196854</t>
  </si>
  <si>
    <t xml:space="preserve">Metabolism of vitamins and cofactors</t>
  </si>
  <si>
    <t xml:space="preserve">R-HSA-8964011</t>
  </si>
  <si>
    <t xml:space="preserve">HDL clearance</t>
  </si>
  <si>
    <t xml:space="preserve">R-HSA-349637;R-HSA-349638;R-HSA-264848;R-HSA-264834;R-HSA-8858252</t>
  </si>
  <si>
    <t xml:space="preserve">R-HSA-173736</t>
  </si>
  <si>
    <t xml:space="preserve">Alternative complement activation</t>
  </si>
  <si>
    <t xml:space="preserve">R-HSA-183122;R-HSA-173745;R-HSA-183126;R-HSA-174551;R-HSA-183130;R-HSA-173754;R-HSA-173739;R-HSA-981539;R-HSA-173740</t>
  </si>
  <si>
    <t xml:space="preserve">R-HSA-8963896</t>
  </si>
  <si>
    <t xml:space="preserve">HDL assembly</t>
  </si>
  <si>
    <t xml:space="preserve">R-HSA-216723;R-HSA-264758;R-HSA-216727;R-HSA-216757;R-HSA-216756;R-HSA-349657</t>
  </si>
  <si>
    <t xml:space="preserve">R-HSA-159763</t>
  </si>
  <si>
    <t xml:space="preserve">Transport of gamma-carboxylated protein precursors from the endoplasmic reticulum to the Golgi apparatus</t>
  </si>
  <si>
    <t xml:space="preserve">P00734;P07225</t>
  </si>
  <si>
    <t xml:space="preserve">R-HSA-159843;R-HSA-159729</t>
  </si>
  <si>
    <t xml:space="preserve">R-HSA-159740</t>
  </si>
  <si>
    <t xml:space="preserve">Gamma-carboxylation of protein precursors</t>
  </si>
  <si>
    <t xml:space="preserve">R-HSA-159826;R-HSA-159752</t>
  </si>
  <si>
    <t xml:space="preserve">R-HSA-8964043</t>
  </si>
  <si>
    <t xml:space="preserve">Plasma lipoprotein clearance</t>
  </si>
  <si>
    <t xml:space="preserve">P04114;P02647</t>
  </si>
  <si>
    <t xml:space="preserve">R-HSA-349637;R-HSA-171106;R-HSA-8933258;R-HSA-174624;R-HSA-349638;R-HSA-174657;R-HSA-8933292;R-HSA-8865667;R-HSA-264834;R-HSA-171141;R-HSA-8876366;R-HSA-8858252;R-HSA-171087;R-HSA-8854408;R-HSA-171122;R-HSA-174706;R-HSA-171059;R-HSA-264848;R-HSA-8854462;R-HSA-6784734;R-HSA-174808</t>
  </si>
  <si>
    <t xml:space="preserve">R-HSA-3000480</t>
  </si>
  <si>
    <t xml:space="preserve">Scavenging by Class A Receptors</t>
  </si>
  <si>
    <t xml:space="preserve">R-HSA-2173778;R-HSA-2507854;R-HSA-2187261;R-HSA-2981040</t>
  </si>
  <si>
    <t xml:space="preserve">R-HSA-159782</t>
  </si>
  <si>
    <t xml:space="preserve">Removal of aminoterminal propeptides from gamma-carboxylated proteins</t>
  </si>
  <si>
    <t xml:space="preserve">R-HSA-159728;R-HSA-159773</t>
  </si>
  <si>
    <t xml:space="preserve">R-HSA-159854</t>
  </si>
  <si>
    <t xml:space="preserve">Gamma-carboxylation, transport, and amino-terminal cleavage of proteins</t>
  </si>
  <si>
    <t xml:space="preserve">R-HSA-159826;R-HSA-159843;R-HSA-159728;R-HSA-159729;R-HSA-159752;R-HSA-159773</t>
  </si>
  <si>
    <t xml:space="preserve">R-HSA-174577</t>
  </si>
  <si>
    <t xml:space="preserve">Activation of C3 and C5</t>
  </si>
  <si>
    <t xml:space="preserve">R-HSA-173680;R-HSA-166817;R-HSA-173636</t>
  </si>
  <si>
    <t xml:space="preserve">R-HSA-3000471</t>
  </si>
  <si>
    <t xml:space="preserve">Scavenging by Class B Receptors</t>
  </si>
  <si>
    <t xml:space="preserve">R-HSA-2187264;R-HSA-2512800;R-HSA-2247512;R-HSA-2197646</t>
  </si>
  <si>
    <t xml:space="preserve">R-HSA-8964058</t>
  </si>
  <si>
    <t xml:space="preserve">HDL remodeling</t>
  </si>
  <si>
    <t xml:space="preserve">R-HSA-266310;R-HSA-264678;R-HSA-264695;R-HSA-264689;R-HSA-349404;R-HSA-266303;R-HSA-266328;R-HSA-266089;R-HSA-266299;R-HSA-266315</t>
  </si>
  <si>
    <t xml:space="preserve">R-HSA-5682113</t>
  </si>
  <si>
    <t xml:space="preserve">Defective ABCA1 causes Tangier disease</t>
  </si>
  <si>
    <t xml:space="preserve">R-HSA-5682111</t>
  </si>
  <si>
    <t xml:space="preserve">R-HSA-163841</t>
  </si>
  <si>
    <t xml:space="preserve">Gamma carboxylation, hypusine formation and arylsulfatase activation</t>
  </si>
  <si>
    <t xml:space="preserve">R-HSA-372790</t>
  </si>
  <si>
    <t xml:space="preserve">Signaling by GPCR</t>
  </si>
  <si>
    <t xml:space="preserve">P04114;O95445;P00734;P06727;P02647;P02775;P01024;P02652</t>
  </si>
  <si>
    <t xml:space="preserve">P13501</t>
  </si>
  <si>
    <t xml:space="preserve">O15552</t>
  </si>
  <si>
    <t xml:space="preserve">R-HSA-373061;R-HSA-444647;R-HSA-749448;R-HSA-9619127;R-HSA-2187332;R-HSA-749454;R-HSA-964811;R-HSA-2404131;R-HSA-749452;R-HSA-2404140;R-HSA-2395784;R-HSA-380073;R-HSA-2423785;R-HSA-444171;R-HSA-379048;R-HSA-2429643;R-HSA-2395764;R-HSA-373813;R-HSA-389463;R-HSA-2424254;R-HSA-112282;R-HSA-749456;R-HSA-2395768;R-HSA-5246478</t>
  </si>
  <si>
    <t xml:space="preserve">R-HSA-3000497</t>
  </si>
  <si>
    <t xml:space="preserve">Scavenging by Class H Receptors</t>
  </si>
  <si>
    <t xml:space="preserve">R-HSA-2247511;R-HSA-2203479;R-HSA-2247513;R-HSA-2197770</t>
  </si>
  <si>
    <t xml:space="preserve">R-HSA-2855086</t>
  </si>
  <si>
    <t xml:space="preserve">Ficolins bind to repetitive carbohydrate structures on the target cell surface</t>
  </si>
  <si>
    <t xml:space="preserve">R-HSA-2855077</t>
  </si>
  <si>
    <t xml:space="preserve">R-HSA-388396</t>
  </si>
  <si>
    <t xml:space="preserve">GPCR downstream signalling</t>
  </si>
  <si>
    <t xml:space="preserve">R-HSA-749448;R-HSA-9619127;R-HSA-2187332;R-HSA-749454;R-HSA-2404131;R-HSA-749452;R-HSA-2404140;R-HSA-2395784;R-HSA-380073;R-HSA-2423785;R-HSA-379048;R-HSA-2429643;R-HSA-2395764;R-HSA-2424254;R-HSA-112282;R-HSA-749456;R-HSA-2395768;R-HSA-5246478</t>
  </si>
  <si>
    <t xml:space="preserve">R-HSA-375276</t>
  </si>
  <si>
    <t xml:space="preserve">Peptide ligand-binding receptors</t>
  </si>
  <si>
    <t xml:space="preserve">P00734;P02775;P01024</t>
  </si>
  <si>
    <t xml:space="preserve">R-HSA-373813;R-HSA-373061;R-HSA-444647;R-HSA-389463;R-HSA-964811</t>
  </si>
  <si>
    <t xml:space="preserve">R-HSA-8964046</t>
  </si>
  <si>
    <t xml:space="preserve">VLDL clearance</t>
  </si>
  <si>
    <t xml:space="preserve">R-HSA-8933292;R-HSA-8854462;R-HSA-8854408</t>
  </si>
  <si>
    <t xml:space="preserve">R-HSA-804914</t>
  </si>
  <si>
    <t xml:space="preserve">Transport of fatty acids</t>
  </si>
  <si>
    <t xml:space="preserve">R-HSA-5229283</t>
  </si>
  <si>
    <t xml:space="preserve">R-HSA-166662</t>
  </si>
  <si>
    <t xml:space="preserve">Lectin pathway of complement activation</t>
  </si>
  <si>
    <t xml:space="preserve">R-HSA-166726;R-HSA-2855077</t>
  </si>
  <si>
    <t xml:space="preserve">R-HSA-166786</t>
  </si>
  <si>
    <t xml:space="preserve">Creation of C4 and C2 activators</t>
  </si>
  <si>
    <t xml:space="preserve">O75636;P00736</t>
  </si>
  <si>
    <t xml:space="preserve">R-HSA-166726;R-HSA-173626;R-HSA-173631;R-HSA-2855077</t>
  </si>
  <si>
    <t xml:space="preserve">R-HSA-373076</t>
  </si>
  <si>
    <t xml:space="preserve">Class A/1 (Rhodopsin-like receptors)</t>
  </si>
  <si>
    <t xml:space="preserve">R-HSA-373813;R-HSA-373061;R-HSA-444647;R-HSA-389463;R-HSA-964811;R-HSA-444171</t>
  </si>
  <si>
    <t xml:space="preserve">R-HSA-8941332</t>
  </si>
  <si>
    <t xml:space="preserve">RUNX2 regulates genes involved in cell migration</t>
  </si>
  <si>
    <t xml:space="preserve">P08648</t>
  </si>
  <si>
    <t xml:space="preserve">R-HSA-8939667</t>
  </si>
  <si>
    <t xml:space="preserve">R-HSA-3000178</t>
  </si>
  <si>
    <t xml:space="preserve">ECM proteoglycans</t>
  </si>
  <si>
    <t xml:space="preserve">P07585</t>
  </si>
  <si>
    <t xml:space="preserve">R-HSA-2327909;R-HSA-2681681;R-HSA-2396079</t>
  </si>
  <si>
    <t xml:space="preserve">R-HSA-977225</t>
  </si>
  <si>
    <t xml:space="preserve">Amyloid fiber formation</t>
  </si>
  <si>
    <t xml:space="preserve">P06727;P02647;P02743</t>
  </si>
  <si>
    <t xml:space="preserve">P05067</t>
  </si>
  <si>
    <t xml:space="preserve">R-HSA-976734;R-HSA-8871494;R-HSA-9010091;R-HSA-977224;R-HSA-9010096;R-HSA-5692495;R-HSA-9010034;R-HSA-976723;R-HSA-977136;R-HSA-976817</t>
  </si>
  <si>
    <t xml:space="preserve">R-HSA-187024</t>
  </si>
  <si>
    <t xml:space="preserve">NGF-independant TRKA activation</t>
  </si>
  <si>
    <t xml:space="preserve">P18509</t>
  </si>
  <si>
    <t xml:space="preserve">R-HSA-187678</t>
  </si>
  <si>
    <t xml:space="preserve">R-HSA-8951671</t>
  </si>
  <si>
    <t xml:space="preserve">RUNX3 regulates YAP1-mediated transcription</t>
  </si>
  <si>
    <t xml:space="preserve">P29279</t>
  </si>
  <si>
    <t xml:space="preserve">R-HSA-1989766</t>
  </si>
  <si>
    <t xml:space="preserve">R-HSA-382551</t>
  </si>
  <si>
    <t xml:space="preserve">Transport of small molecules</t>
  </si>
  <si>
    <t xml:space="preserve">P04114;P05090;P06727;P02647;P02652</t>
  </si>
  <si>
    <t xml:space="preserve">P30825</t>
  </si>
  <si>
    <t xml:space="preserve">Q3KNW5</t>
  </si>
  <si>
    <t xml:space="preserve">Q8N4V1</t>
  </si>
  <si>
    <t xml:space="preserve">R-HSA-8933258;R-HSA-8866308;R-HSA-8865667;R-HSA-264834;R-HSA-171141;R-HSA-8866304;R-HSA-6784622;R-HSA-174731;R-HSA-8858252;R-HSA-8854408;R-HSA-216723;R-HSA-8866327;R-HSA-174739;R-HSA-216727;R-HSA-264848;R-HSA-8866321;R-HSA-174741;R-HSA-8866329;R-HSA-174624;R-HSA-8933292;R-HSA-174757;R-HSA-5229283;R-HSA-171059;R-HSA-264758;R-HSA-216757;R-HSA-216756;R-HSA-8854462;R-HSA-6784734;R-HSA-266303;R-HSA-266299;R-HSA-349637;R-HSA-174786;R-HSA-266310;R-HSA-349638;R-HSA-174657;R-HSA-174660;R-HSA-433089;R-HSA-8876366;R-HSA-171087;R-HSA-266315;R-HSA-5336454;R-HSA-349404;R-HSA-174808;R-HSA-349657;R-HSA-266328;R-HSA-382553;R-HSA-174690;R-HSA-171106;R-HSA-264678;R-HSA-375776;R-HSA-266350;R-HSA-176879;R-HSA-266089;R-HSA-171122;R-HSA-174706;R-HSA-264695;R-HSA-264689;R-HSA-174587</t>
  </si>
  <si>
    <t xml:space="preserve">R-HSA-3000484</t>
  </si>
  <si>
    <t xml:space="preserve">Scavenging by Class F Receptors</t>
  </si>
  <si>
    <t xml:space="preserve">R-HSA-2247514;R-HSA-2197645</t>
  </si>
  <si>
    <t xml:space="preserve">R-HSA-187015</t>
  </si>
  <si>
    <t xml:space="preserve">Activation of TRKA receptors</t>
  </si>
  <si>
    <t xml:space="preserve">R-HSA-5686938</t>
  </si>
  <si>
    <t xml:space="preserve">Regulation of TLR by endogenous ligand</t>
  </si>
  <si>
    <t xml:space="preserve">R-HSA-8869667</t>
  </si>
  <si>
    <t xml:space="preserve">R-HSA-500792</t>
  </si>
  <si>
    <t xml:space="preserve">GPCR ligand binding</t>
  </si>
  <si>
    <t xml:space="preserve">R-HSA-8964026</t>
  </si>
  <si>
    <t xml:space="preserve">Chylomicron clearance</t>
  </si>
  <si>
    <t xml:space="preserve">R-HSA-174706;R-HSA-174624;R-HSA-174657;R-HSA-174808</t>
  </si>
  <si>
    <t xml:space="preserve">R-HSA-202733</t>
  </si>
  <si>
    <t xml:space="preserve">Cell surface interactions at the vascular wall</t>
  </si>
  <si>
    <t xml:space="preserve">P04114;P01591;P00734;P02751;P07225</t>
  </si>
  <si>
    <t xml:space="preserve">R-HSA-202723;R-HSA-141040;R-HSA-202710;R-HSA-203130;R-HSA-8858428</t>
  </si>
  <si>
    <t xml:space="preserve">R-HSA-8964572</t>
  </si>
  <si>
    <t xml:space="preserve">Lipid particle organization</t>
  </si>
  <si>
    <t xml:space="preserve">Q7Z5P4</t>
  </si>
  <si>
    <t xml:space="preserve">R-HSA-8862380</t>
  </si>
  <si>
    <t xml:space="preserve">R-HSA-1483191</t>
  </si>
  <si>
    <t xml:space="preserve">Synthesis of PC</t>
  </si>
  <si>
    <t xml:space="preserve">R-HSA-372519</t>
  </si>
  <si>
    <t xml:space="preserve">R-HSA-354194</t>
  </si>
  <si>
    <t xml:space="preserve">GRB2:SOS provides linkage to MAPK signaling for Integrins </t>
  </si>
  <si>
    <t xml:space="preserve">R-HSA-354165;R-HSA-354087</t>
  </si>
  <si>
    <t xml:space="preserve">R-HSA-6802948</t>
  </si>
  <si>
    <t xml:space="preserve">Signaling by high-kinase activity BRAF mutants</t>
  </si>
  <si>
    <t xml:space="preserve">R-HSA-6802912;R-HSA-6802911;R-HSA-6802910;R-HSA-6803227</t>
  </si>
  <si>
    <t xml:space="preserve">R-HSA-901042</t>
  </si>
  <si>
    <t xml:space="preserve">Calnexin/calreticulin cycle</t>
  </si>
  <si>
    <t xml:space="preserve">R-HSA-548890;R-HSA-901047</t>
  </si>
  <si>
    <t xml:space="preserve">R-HSA-422085</t>
  </si>
  <si>
    <t xml:space="preserve">Synthesis, secretion, and deacylation of Ghrelin</t>
  </si>
  <si>
    <t xml:space="preserve">R-HSA-9023617</t>
  </si>
  <si>
    <t xml:space="preserve">R-HSA-1369062</t>
  </si>
  <si>
    <t xml:space="preserve">ABC transporters in lipid homeostasis</t>
  </si>
  <si>
    <t xml:space="preserve">R-HSA-382553</t>
  </si>
  <si>
    <t xml:space="preserve">R-HSA-1474228</t>
  </si>
  <si>
    <t xml:space="preserve">Degradation of the extracellular matrix</t>
  </si>
  <si>
    <t xml:space="preserve">P00747;P02751</t>
  </si>
  <si>
    <t xml:space="preserve">R-HSA-1602488;R-HSA-1592314;R-HSA-1602458;R-HSA-3828025;R-HSA-3788061;R-HSA-1592316;R-HSA-1592371;R-HSA-3785684;R-HSA-1454843;R-HSA-2534248;R-HSA-1604712;R-HSA-1566981;R-HSA-1566979;R-HSA-1592398;R-HSA-2533950;R-HSA-2533944</t>
  </si>
  <si>
    <t xml:space="preserve">R-HSA-5674135</t>
  </si>
  <si>
    <t xml:space="preserve">MAP2K and MAPK activation</t>
  </si>
  <si>
    <t xml:space="preserve">R-HSA-5672980;R-HSA-5672978;R-HSA-5672972;R-HSA-5672973</t>
  </si>
  <si>
    <t xml:space="preserve">R-HSA-2129379</t>
  </si>
  <si>
    <t xml:space="preserve">Molecules associated with elastic fibres</t>
  </si>
  <si>
    <t xml:space="preserve">R-HSA-2537665</t>
  </si>
  <si>
    <t xml:space="preserve">R-HSA-1566977</t>
  </si>
  <si>
    <t xml:space="preserve">Fibronectin matrix formation</t>
  </si>
  <si>
    <t xml:space="preserve">R-HSA-202723;R-HSA-2327746;R-HSA-2545196</t>
  </si>
  <si>
    <t xml:space="preserve">R-HSA-8866423</t>
  </si>
  <si>
    <t xml:space="preserve">VLDL assembly</t>
  </si>
  <si>
    <t xml:space="preserve">R-HSA-8866327;R-HSA-8866308;R-HSA-8866321;R-HSA-8866304;R-HSA-8866329</t>
  </si>
  <si>
    <t xml:space="preserve">R-HSA-1368071</t>
  </si>
  <si>
    <t xml:space="preserve">NR1D1 (REV-ERBA) represses gene expression</t>
  </si>
  <si>
    <t xml:space="preserve">P20393</t>
  </si>
  <si>
    <t xml:space="preserve">R-HSA-5663252</t>
  </si>
  <si>
    <t xml:space="preserve">R-HSA-532668</t>
  </si>
  <si>
    <t xml:space="preserve">N-glycan trimming in the ER and Calnexin/Calreticulin cycle</t>
  </si>
  <si>
    <t xml:space="preserve">R-HSA-1989781</t>
  </si>
  <si>
    <t xml:space="preserve">PPARA activates gene expression</t>
  </si>
  <si>
    <t xml:space="preserve">P02647;P02652</t>
  </si>
  <si>
    <t xml:space="preserve">R-HSA-1989754;R-HSA-1989776</t>
  </si>
  <si>
    <t xml:space="preserve">R-HSA-8964038</t>
  </si>
  <si>
    <t xml:space="preserve">LDL clearance</t>
  </si>
  <si>
    <t xml:space="preserve">R-HSA-171122;R-HSA-171106;R-HSA-171059;R-HSA-8933258;R-HSA-8865667;R-HSA-171141;R-HSA-8876366;R-HSA-6784734;R-HSA-171087</t>
  </si>
  <si>
    <t xml:space="preserve">R-HSA-9022707</t>
  </si>
  <si>
    <t xml:space="preserve">MECP2 regulates transcription factors</t>
  </si>
  <si>
    <t xml:space="preserve">P37231</t>
  </si>
  <si>
    <t xml:space="preserve">R-HSA-9017441</t>
  </si>
  <si>
    <t xml:space="preserve">R-HSA-76009</t>
  </si>
  <si>
    <t xml:space="preserve">Platelet Aggregation (Plug Formation)</t>
  </si>
  <si>
    <t xml:space="preserve">P00734;P02751</t>
  </si>
  <si>
    <t xml:space="preserve">R-HSA-354149;R-HSA-429415;R-HSA-354087;R-HSA-372705;R-HSA-429441;R-HSA-377644;R-HSA-354124;R-HSA-377641;R-HSA-377640;R-HSA-377643;R-HSA-372693;R-HSA-354165;R-HSA-354066;R-HSA-372697;R-HSA-354073;R-HSA-429529</t>
  </si>
  <si>
    <t xml:space="preserve">R-HSA-1566948</t>
  </si>
  <si>
    <t xml:space="preserve">Elastic fibre formation</t>
  </si>
  <si>
    <t xml:space="preserve">R-HSA-400206</t>
  </si>
  <si>
    <t xml:space="preserve">Regulation of lipid metabolism by Peroxisome proliferator-activated receptor alpha (PPARalpha)</t>
  </si>
  <si>
    <t xml:space="preserve">R-HSA-8963889</t>
  </si>
  <si>
    <t xml:space="preserve">Assembly of active LPL and LIPC lipase complexes</t>
  </si>
  <si>
    <t xml:space="preserve">R-HSA-6784622</t>
  </si>
  <si>
    <t xml:space="preserve">R-HSA-389359</t>
  </si>
  <si>
    <t xml:space="preserve">CD28 dependent Vav1 pathway</t>
  </si>
  <si>
    <t xml:space="preserve">R-HSA-389354</t>
  </si>
  <si>
    <t xml:space="preserve">R-HSA-6802946</t>
  </si>
  <si>
    <t xml:space="preserve">Signaling by moderate kinase activity BRAF mutants</t>
  </si>
  <si>
    <t xml:space="preserve">R-HSA-6802919;R-HSA-6802914;R-HSA-6803230;R-HSA-6802921</t>
  </si>
  <si>
    <t xml:space="preserve">R-HSA-6802955</t>
  </si>
  <si>
    <t xml:space="preserve">Paradoxical activation of RAF signaling by kinase inactive BRAF</t>
  </si>
  <si>
    <t xml:space="preserve">R-HSA-6802918;R-HSA-6803234;R-HSA-6802943;R-HSA-6802942</t>
  </si>
  <si>
    <t xml:space="preserve">R-HSA-1592389</t>
  </si>
  <si>
    <t xml:space="preserve">Activation of Matrix Metalloproteinases</t>
  </si>
  <si>
    <t xml:space="preserve">R-HSA-1602488;R-HSA-1604712;R-HSA-1602458;R-HSA-1592316;R-HSA-1592398;R-HSA-1592371</t>
  </si>
  <si>
    <t xml:space="preserve">R-HSA-112311</t>
  </si>
  <si>
    <t xml:space="preserve">Neurotransmitter clearance</t>
  </si>
  <si>
    <t xml:space="preserve">R-HSA-6802952</t>
  </si>
  <si>
    <t xml:space="preserve">Signaling by BRAF and RAF fusions</t>
  </si>
  <si>
    <t xml:space="preserve">R-HSA-6802935;R-HSA-6802934;R-HSA-6802933;R-HSA-6802932</t>
  </si>
  <si>
    <t xml:space="preserve">R-HSA-75892</t>
  </si>
  <si>
    <t xml:space="preserve">Platelet Adhesion to exposed collagen</t>
  </si>
  <si>
    <t xml:space="preserve">R-HSA-432295</t>
  </si>
  <si>
    <t xml:space="preserve">R-HSA-6802949</t>
  </si>
  <si>
    <t xml:space="preserve">Signaling by RAS mutants</t>
  </si>
  <si>
    <t xml:space="preserve">R-HSA-6803233;R-HSA-6802926;R-HSA-6802925;R-HSA-6802922</t>
  </si>
  <si>
    <t xml:space="preserve">R-HSA-5653656</t>
  </si>
  <si>
    <t xml:space="preserve">Vesicle-mediated transport</t>
  </si>
  <si>
    <t xml:space="preserve">P04114;P00738;P02790;P01591;P00739;P01009;P02647</t>
  </si>
  <si>
    <t xml:space="preserve">R-HSA-8868230;R-HSA-5229132;R-HSA-5694418;R-HSA-2512800;R-HSA-5694417;R-HSA-5694428;R-HSA-8868236;R-HSA-2168883;R-HSA-2168885;R-HSA-2168884;R-HSA-2168887;R-HSA-2168886;R-HSA-2168889;R-HSA-2981040;R-HSA-8871194;R-HSA-8871193;R-HSA-5694409;R-HSA-2187264;R-HSA-2197770;R-HSA-8867756;R-HSA-2197645;R-HSA-8868651;R-HSA-8867754;R-HSA-2197646;R-HSA-8868648;R-HSA-5694439;R-HSA-8868661;R-HSA-8868660;R-HSA-8868659;R-HSA-8868658;R-HSA-2230938;R-HSA-5694446;R-HSA-8869438;R-HSA-5694441;R-HSA-203973;R-HSA-2187261;R-HSA-2203516;R-HSA-2168897;R-HSA-8868071;R-HSA-2230983;R-HSA-2507854;R-HSA-8863471;R-HSA-5694527;R-HSA-204008;R-HSA-5694522;R-HSA-8868072;R-HSA-2173778;R-HSA-2247511;R-HSA-2203479;R-HSA-2247514;R-HSA-2247512;R-HSA-2247513</t>
  </si>
  <si>
    <t xml:space="preserve">R-HSA-442729</t>
  </si>
  <si>
    <t xml:space="preserve">CREB1 phosphorylation through the activation of CaMKII/CaMKK/CaMKIV cascasde</t>
  </si>
  <si>
    <t xml:space="preserve">R-HSA-9619127;R-HSA-112282</t>
  </si>
  <si>
    <t xml:space="preserve">R-HSA-446343</t>
  </si>
  <si>
    <t xml:space="preserve">Localization of the PINCH-ILK-PARVIN complex to focal adhesions</t>
  </si>
  <si>
    <t xml:space="preserve">P05556</t>
  </si>
  <si>
    <t xml:space="preserve">P49023</t>
  </si>
  <si>
    <t xml:space="preserve">R-HSA-446322;R-HSA-432897</t>
  </si>
  <si>
    <t xml:space="preserve">R-HSA-111932</t>
  </si>
  <si>
    <t xml:space="preserve">CaMK IV-mediated phosphorylation of CREB</t>
  </si>
  <si>
    <t xml:space="preserve">R-HSA-392499</t>
  </si>
  <si>
    <t xml:space="preserve">Metabolism of proteins</t>
  </si>
  <si>
    <t xml:space="preserve">P04114;P05546;P06727;P00747;P00734;P01009;P01008;P02647;P06276;P02765;P02743;P01024;P02652;P02751;P07225</t>
  </si>
  <si>
    <t xml:space="preserve">P40337</t>
  </si>
  <si>
    <t xml:space="preserve">P43307</t>
  </si>
  <si>
    <t xml:space="preserve">Q96BA8</t>
  </si>
  <si>
    <t xml:space="preserve">R-HSA-8871494;R-HSA-381446;R-HSA-5694418;R-HSA-977224;R-HSA-203973;R-HSA-5694417;R-HSA-9023617;R-HSA-5694428;R-HSA-159752;R-HSA-8874184;R-HSA-976734;R-HSA-159826;R-HSA-381461;R-HSA-4717461;R-HSA-548890;R-HSA-8874194;R-HSA-8874193;R-HSA-5692495;R-HSA-976723;R-HSA-5694409;R-HSA-159773;R-HSA-159843;R-HSA-9010091;R-HSA-8874212;R-HSA-1791164;R-HSA-8952289;R-HSA-5694527;R-HSA-204008;R-HSA-4551721;R-HSA-5694522;R-HSA-5694439;R-HSA-159728;R-HSA-159729;R-HSA-5694446;R-HSA-9010096;R-HSA-901047;R-HSA-9010034;R-HSA-977136;R-HSA-976817;R-HSA-5694441</t>
  </si>
  <si>
    <t xml:space="preserve">R-HSA-5223345</t>
  </si>
  <si>
    <t xml:space="preserve">Miscellaneous transport and binding events</t>
  </si>
  <si>
    <t xml:space="preserve">R-HSA-5336454</t>
  </si>
  <si>
    <t xml:space="preserve">R-HSA-456926</t>
  </si>
  <si>
    <t xml:space="preserve">Thrombin signalling through proteinase activated receptors (PARs)</t>
  </si>
  <si>
    <t xml:space="preserve">R-HSA-114697</t>
  </si>
  <si>
    <t xml:space="preserve">R-HSA-8849471</t>
  </si>
  <si>
    <t xml:space="preserve">PTK6 Regulates RHO GTPases, RAS GTPase and MAP kinases</t>
  </si>
  <si>
    <t xml:space="preserve">R-HSA-8848596;R-HSA-8848611;R-HSA-8848606</t>
  </si>
  <si>
    <t xml:space="preserve">R-HSA-446388</t>
  </si>
  <si>
    <t xml:space="preserve">Regulation of cytoskeletal remodeling and cell spreading by IPP complex components</t>
  </si>
  <si>
    <t xml:space="preserve">R-HSA-446322</t>
  </si>
  <si>
    <t xml:space="preserve">R-HSA-380108</t>
  </si>
  <si>
    <t xml:space="preserve">Chemokine receptors bind chemokines</t>
  </si>
  <si>
    <t xml:space="preserve">R-HSA-373813;R-HSA-373061</t>
  </si>
  <si>
    <t xml:space="preserve">R-HSA-5693548</t>
  </si>
  <si>
    <t xml:space="preserve">Sensing of DNA Double Strand Breaks</t>
  </si>
  <si>
    <t xml:space="preserve">R-HSA-5684006;R-HSA-5684008</t>
  </si>
  <si>
    <t xml:space="preserve">R-HSA-5619084</t>
  </si>
  <si>
    <t xml:space="preserve">ABC transporter disorders</t>
  </si>
  <si>
    <t xml:space="preserve">R-HSA-432142</t>
  </si>
  <si>
    <t xml:space="preserve">Platelet sensitization by LDL</t>
  </si>
  <si>
    <t xml:space="preserve">R-HSA-432129;R-HSA-435244;R-HSA-8948034;R-HSA-432121</t>
  </si>
  <si>
    <t xml:space="preserve">R-HSA-173623</t>
  </si>
  <si>
    <t xml:space="preserve">Classical antibody-mediated complement activation</t>
  </si>
  <si>
    <t xml:space="preserve">R-HSA-173626;R-HSA-173631</t>
  </si>
  <si>
    <t xml:space="preserve">R-HSA-6802957</t>
  </si>
  <si>
    <t xml:space="preserve">Oncogenic MAPK signaling</t>
  </si>
  <si>
    <t xml:space="preserve">R-HSA-6802919;R-HSA-6802918;R-HSA-6802914;R-HSA-6803234;R-HSA-6803233;R-HSA-6802912;R-HSA-6802926;R-HSA-6802925;R-HSA-6802922;R-HSA-6802921;R-HSA-6802935;R-HSA-6802934;R-HSA-6802933;R-HSA-6802932;R-HSA-6802911;R-HSA-6802943;R-HSA-6802910;R-HSA-6803230;R-HSA-6802942;R-HSA-6803227</t>
  </si>
  <si>
    <t xml:space="preserve">R-HSA-8874081</t>
  </si>
  <si>
    <t xml:space="preserve">MET activates PTK2 signaling</t>
  </si>
  <si>
    <t xml:space="preserve">R-HSA-8874079</t>
  </si>
  <si>
    <t xml:space="preserve">R-HSA-372708</t>
  </si>
  <si>
    <t xml:space="preserve">p130Cas linkage to MAPK signaling for integrins</t>
  </si>
  <si>
    <t xml:space="preserve">R-HSA-372693;R-HSA-372705;R-HSA-372697</t>
  </si>
  <si>
    <t xml:space="preserve">R-HSA-444209</t>
  </si>
  <si>
    <t xml:space="preserve">Free fatty acid receptors</t>
  </si>
  <si>
    <t xml:space="preserve">R-HSA-444171</t>
  </si>
  <si>
    <t xml:space="preserve">R-HSA-425397</t>
  </si>
  <si>
    <t xml:space="preserve">Transport of vitamins, nucleosides, and related molecules</t>
  </si>
  <si>
    <t xml:space="preserve">R-HSA-8875878</t>
  </si>
  <si>
    <t xml:space="preserve">MET promotes cell motility</t>
  </si>
  <si>
    <t xml:space="preserve">R-HSA-111933</t>
  </si>
  <si>
    <t xml:space="preserve">Calmodulin induced events</t>
  </si>
  <si>
    <t xml:space="preserve">R-HSA-111997</t>
  </si>
  <si>
    <t xml:space="preserve">CaM pathway</t>
  </si>
  <si>
    <t xml:space="preserve">R-HSA-450341</t>
  </si>
  <si>
    <t xml:space="preserve">Activation of the AP-1 family of transcription factors</t>
  </si>
  <si>
    <t xml:space="preserve">R-HSA-450292;R-HSA-450325</t>
  </si>
  <si>
    <t xml:space="preserve">R-HSA-5621480</t>
  </si>
  <si>
    <t xml:space="preserve">Dectin-2 family</t>
  </si>
  <si>
    <t xml:space="preserve">R-HSA-8858500</t>
  </si>
  <si>
    <t xml:space="preserve">R-HSA-597592</t>
  </si>
  <si>
    <t xml:space="preserve">Post-translational protein modification</t>
  </si>
  <si>
    <t xml:space="preserve">P04114;P05546;P00734;P01009;P01008;P02647;P02765;P01024;P02652;P02751;P07225</t>
  </si>
  <si>
    <t xml:space="preserve">R-HSA-159843;R-HSA-5694418;R-HSA-203973;R-HSA-5694417;R-HSA-8952289;R-HSA-5694527;R-HSA-5694428;R-HSA-159752;R-HSA-204008;R-HSA-4551721;R-HSA-5694522;R-HSA-159826;R-HSA-5694439;R-HSA-159728;R-HSA-4717461;R-HSA-548890;R-HSA-159729;R-HSA-5694446;R-HSA-901047;R-HSA-5694441;R-HSA-5694409;R-HSA-159773</t>
  </si>
  <si>
    <t xml:space="preserve">R-HSA-3000170</t>
  </si>
  <si>
    <t xml:space="preserve">Syndecan interactions</t>
  </si>
  <si>
    <t xml:space="preserve">P07996</t>
  </si>
  <si>
    <t xml:space="preserve">R-HSA-2681675;R-HSA-2731141</t>
  </si>
  <si>
    <t xml:space="preserve">R-HSA-8866376</t>
  </si>
  <si>
    <t xml:space="preserve">Reelin signalling pathway</t>
  </si>
  <si>
    <t xml:space="preserve">R-HSA-8855237</t>
  </si>
  <si>
    <t xml:space="preserve">R-HSA-8856825</t>
  </si>
  <si>
    <t xml:space="preserve">Cargo recognition for clathrin-mediated endocytosis</t>
  </si>
  <si>
    <t xml:space="preserve">R-HSA-8863471</t>
  </si>
  <si>
    <t xml:space="preserve">R-HSA-352230</t>
  </si>
  <si>
    <t xml:space="preserve">Amino acid transport across the plasma membrane</t>
  </si>
  <si>
    <t xml:space="preserve">R-HSA-375776</t>
  </si>
  <si>
    <t xml:space="preserve">R-HSA-6803157</t>
  </si>
  <si>
    <t xml:space="preserve">Antimicrobial peptides</t>
  </si>
  <si>
    <t xml:space="preserve">R-HSA-6810643</t>
  </si>
  <si>
    <t xml:space="preserve">R-HSA-1368108</t>
  </si>
  <si>
    <t xml:space="preserve">BMAL1:CLOCK,NPAS2 activates circadian gene expression</t>
  </si>
  <si>
    <t xml:space="preserve">R-HSA-549364</t>
  </si>
  <si>
    <t xml:space="preserve">R-HSA-373753</t>
  </si>
  <si>
    <t xml:space="preserve">Nephrin family interactions</t>
  </si>
  <si>
    <t xml:space="preserve">R-HSA-8981534</t>
  </si>
  <si>
    <t xml:space="preserve">R-HSA-382556</t>
  </si>
  <si>
    <t xml:space="preserve">ABC-family proteins mediated transport</t>
  </si>
  <si>
    <t xml:space="preserve">R-HSA-1474244</t>
  </si>
  <si>
    <t xml:space="preserve">Extracellular matrix organization</t>
  </si>
  <si>
    <t xml:space="preserve">R-HSA-1602458;R-HSA-3828025;R-HSA-2327909;R-HSA-2545196;R-HSA-2396079;R-HSA-2534248;R-HSA-1566981;R-HSA-1566979;R-HSA-2396337;R-HSA-2327733;R-HSA-1592398;R-HSA-2533950;R-HSA-349593;R-HSA-2533944;R-HSA-202723;R-HSA-1602488;R-HSA-2327746;R-HSA-1592314;R-HSA-2681675;R-HSA-3788061;R-HSA-1592316;R-HSA-349603;R-HSA-2537665;R-HSA-1592371;R-HSA-2731141;R-HSA-3785684;R-HSA-1454843;R-HSA-1604712;R-HSA-216050;R-HSA-2681681</t>
  </si>
  <si>
    <t xml:space="preserve">R-HSA-5694530</t>
  </si>
  <si>
    <t xml:space="preserve">Cargo concentration in the ER</t>
  </si>
  <si>
    <t xml:space="preserve">R-HSA-5694428;R-HSA-5694522</t>
  </si>
  <si>
    <t xml:space="preserve">R-HSA-2032785</t>
  </si>
  <si>
    <t xml:space="preserve">YAP1- and WWTR1 (TAZ)-stimulated gene expression</t>
  </si>
  <si>
    <t xml:space="preserve">R-HSA-389356</t>
  </si>
  <si>
    <t xml:space="preserve">CD28 co-stimulation</t>
  </si>
  <si>
    <t xml:space="preserve">R-HSA-4420097</t>
  </si>
  <si>
    <t xml:space="preserve">VEGFA-VEGFR2 Pathway</t>
  </si>
  <si>
    <t xml:space="preserve">R-HSA-5218824;R-HSA-5218838</t>
  </si>
  <si>
    <t xml:space="preserve">R-HSA-111996</t>
  </si>
  <si>
    <t xml:space="preserve">Ca-dependent events</t>
  </si>
  <si>
    <t xml:space="preserve">R-HSA-1489509</t>
  </si>
  <si>
    <t xml:space="preserve">DAG and IP3 signaling</t>
  </si>
  <si>
    <t xml:space="preserve">R-HSA-983170</t>
  </si>
  <si>
    <t xml:space="preserve">Antigen Presentation: Folding, assembly and peptide loading of class I MHC</t>
  </si>
  <si>
    <t xml:space="preserve">R-HSA-983148;R-HSA-983161</t>
  </si>
  <si>
    <t xml:space="preserve">R-HSA-194138</t>
  </si>
  <si>
    <t xml:space="preserve">Signaling by VEGF</t>
  </si>
  <si>
    <t xml:space="preserve">R-HSA-450282</t>
  </si>
  <si>
    <t xml:space="preserve">MAPK targets/ Nuclear events mediated by MAP kinases</t>
  </si>
  <si>
    <t xml:space="preserve">R-HSA-112043</t>
  </si>
  <si>
    <t xml:space="preserve">PLC beta mediated events</t>
  </si>
  <si>
    <t xml:space="preserve">R-HSA-112040</t>
  </si>
  <si>
    <t xml:space="preserve">G-protein mediated events</t>
  </si>
  <si>
    <t xml:space="preserve">R-HSA-844456</t>
  </si>
  <si>
    <t xml:space="preserve">The NLRP3 inflammasome</t>
  </si>
  <si>
    <t xml:space="preserve">R-HSA-877198</t>
  </si>
  <si>
    <t xml:space="preserve">R-HSA-3000171</t>
  </si>
  <si>
    <t xml:space="preserve">Non-integrin membrane-ECM interactions</t>
  </si>
  <si>
    <t xml:space="preserve">R-HSA-2681675;R-HSA-2396337;R-HSA-2731141</t>
  </si>
  <si>
    <t xml:space="preserve">R-HSA-400253</t>
  </si>
  <si>
    <t xml:space="preserve">Circadian Clock</t>
  </si>
  <si>
    <t xml:space="preserve">R-HSA-1368069;R-HSA-5663271;R-HSA-5663252;R-HSA-5663265;R-HSA-5663245;R-HSA-549475;R-HSA-5663258;R-HSA-549364</t>
  </si>
  <si>
    <t xml:space="preserve">R-HSA-446353</t>
  </si>
  <si>
    <t xml:space="preserve">Cell-extracellular matrix interactions</t>
  </si>
  <si>
    <t xml:space="preserve">R-HSA-418346</t>
  </si>
  <si>
    <t xml:space="preserve">Platelet homeostasis</t>
  </si>
  <si>
    <t xml:space="preserve">R-HSA-8856828</t>
  </si>
  <si>
    <t xml:space="preserve">Clathrin-mediated endocytosis</t>
  </si>
  <si>
    <t xml:space="preserve">R-HSA-8868071;R-HSA-8868230;R-HSA-8863471;R-HSA-8867756;R-HSA-8868236;R-HSA-8868651;R-HSA-8867754;R-HSA-8868072;R-HSA-8868648;R-HSA-8868661;R-HSA-8868660;R-HSA-8868659;R-HSA-8868658;R-HSA-8869438;R-HSA-8871194;R-HSA-8871193</t>
  </si>
  <si>
    <t xml:space="preserve">R-HSA-622312</t>
  </si>
  <si>
    <t xml:space="preserve">Inflammasomes</t>
  </si>
  <si>
    <t xml:space="preserve">R-HSA-9607240</t>
  </si>
  <si>
    <t xml:space="preserve">FLT3 Signaling</t>
  </si>
  <si>
    <t xml:space="preserve">R-HSA-5672980;R-HSA-5672978;R-HSA-9605259;R-HSA-5672972;R-HSA-5672973</t>
  </si>
  <si>
    <t xml:space="preserve">R-HSA-5663220</t>
  </si>
  <si>
    <t xml:space="preserve">RHO GTPases Activate Formins</t>
  </si>
  <si>
    <t xml:space="preserve">R-HSA-5666049</t>
  </si>
  <si>
    <t xml:space="preserve">R-HSA-204005</t>
  </si>
  <si>
    <t xml:space="preserve">COPII-mediated vesicle transport</t>
  </si>
  <si>
    <t xml:space="preserve">R-HSA-5694439;R-HSA-5694418;R-HSA-203973;R-HSA-5694417;R-HSA-5694446;R-HSA-5694527;R-HSA-204008;R-HSA-5694522;R-HSA-5694441;R-HSA-5694409</t>
  </si>
  <si>
    <t xml:space="preserve">R-HSA-9634638</t>
  </si>
  <si>
    <t xml:space="preserve">Estrogen-dependent nuclear events downstream of ESR-membrane signaling</t>
  </si>
  <si>
    <t xml:space="preserve">R-HSA-9625465</t>
  </si>
  <si>
    <t xml:space="preserve">R-HSA-375165</t>
  </si>
  <si>
    <t xml:space="preserve">NCAM signaling for neurite out-growth</t>
  </si>
  <si>
    <t xml:space="preserve">R-HSA-391867</t>
  </si>
  <si>
    <t xml:space="preserve">R-HSA-3299685</t>
  </si>
  <si>
    <t xml:space="preserve">Detoxification of Reactive Oxygen Species</t>
  </si>
  <si>
    <t xml:space="preserve">R-HSA-3341397</t>
  </si>
  <si>
    <t xml:space="preserve">R-HSA-164944</t>
  </si>
  <si>
    <t xml:space="preserve">Nef and signal transduction</t>
  </si>
  <si>
    <t xml:space="preserve">R-HSA-200908</t>
  </si>
  <si>
    <t xml:space="preserve">R-HSA-1500931</t>
  </si>
  <si>
    <t xml:space="preserve">Cell-Cell communication</t>
  </si>
  <si>
    <t xml:space="preserve">R-HSA-446322;R-HSA-8981534;R-HSA-432897</t>
  </si>
  <si>
    <t xml:space="preserve">R-HSA-1251985</t>
  </si>
  <si>
    <t xml:space="preserve">Nuclear signaling by ERBB4</t>
  </si>
  <si>
    <t xml:space="preserve">R-HSA-9612243</t>
  </si>
  <si>
    <t xml:space="preserve">R-HSA-438064</t>
  </si>
  <si>
    <t xml:space="preserve">Post NMDA receptor activation events</t>
  </si>
  <si>
    <t xml:space="preserve">R-HSA-186797</t>
  </si>
  <si>
    <t xml:space="preserve">Signaling by PDGF</t>
  </si>
  <si>
    <t xml:space="preserve">R-HSA-382061</t>
  </si>
  <si>
    <t xml:space="preserve">R-HSA-354192</t>
  </si>
  <si>
    <t xml:space="preserve">Integrin alphaIIb beta3 signaling</t>
  </si>
  <si>
    <t xml:space="preserve">R-HSA-354149;R-HSA-429415;R-HSA-354087;R-HSA-372705;R-HSA-429441;R-HSA-377644;R-HSA-354124;R-HSA-377641;R-HSA-377640;R-HSA-377643;R-HSA-372693;R-HSA-354165;R-HSA-354066;R-HSA-372697;R-HSA-354073</t>
  </si>
  <si>
    <t xml:space="preserve">R-HSA-9006921</t>
  </si>
  <si>
    <t xml:space="preserve">Integrin signaling</t>
  </si>
  <si>
    <t xml:space="preserve">R-HSA-3232142</t>
  </si>
  <si>
    <t xml:space="preserve">SUMOylation of ubiquitinylation proteins</t>
  </si>
  <si>
    <t xml:space="preserve">R-HSA-4551721</t>
  </si>
  <si>
    <t xml:space="preserve">R-HSA-450294</t>
  </si>
  <si>
    <t xml:space="preserve">MAP kinase activation</t>
  </si>
  <si>
    <t xml:space="preserve">R-HSA-425393</t>
  </si>
  <si>
    <t xml:space="preserve">Transport of inorganic cations/anions and amino acids/oligopeptides</t>
  </si>
  <si>
    <t xml:space="preserve">R-HSA-8940973</t>
  </si>
  <si>
    <t xml:space="preserve">RUNX2 regulates osteoblast differentiation</t>
  </si>
  <si>
    <t xml:space="preserve">P02452</t>
  </si>
  <si>
    <t xml:space="preserve">R-HSA-8985644</t>
  </si>
  <si>
    <t xml:space="preserve">R-HSA-448424</t>
  </si>
  <si>
    <t xml:space="preserve">Interleukin-17 signaling</t>
  </si>
  <si>
    <t xml:space="preserve">R-HSA-446203</t>
  </si>
  <si>
    <t xml:space="preserve">Asparagine N-linked glycosylation</t>
  </si>
  <si>
    <t xml:space="preserve">R-HSA-5694418;R-HSA-203973;R-HSA-5694417;R-HSA-5694527;R-HSA-5694428;R-HSA-204008;R-HSA-5694522;R-HSA-5694439;R-HSA-548890;R-HSA-5694446;R-HSA-901047;R-HSA-5694441;R-HSA-5694409</t>
  </si>
  <si>
    <t xml:space="preserve">R-HSA-388841</t>
  </si>
  <si>
    <t xml:space="preserve">Costimulation by the CD28 family</t>
  </si>
  <si>
    <t xml:space="preserve">R-HSA-6785807</t>
  </si>
  <si>
    <t xml:space="preserve">Interleukin-4 and Interleukin-13 signaling</t>
  </si>
  <si>
    <t xml:space="preserve">R-HSA-6785895</t>
  </si>
  <si>
    <t xml:space="preserve">R-HSA-5619115</t>
  </si>
  <si>
    <t xml:space="preserve">Disorders of transmembrane transporters</t>
  </si>
  <si>
    <t xml:space="preserve">R-HSA-8874211</t>
  </si>
  <si>
    <t xml:space="preserve">CREB3 factors activate genes</t>
  </si>
  <si>
    <t xml:space="preserve">R-HSA-8874212;R-HSA-8874194;R-HSA-8874193;R-HSA-8874184</t>
  </si>
  <si>
    <t xml:space="preserve">R-HSA-8941326</t>
  </si>
  <si>
    <t xml:space="preserve">RUNX2 regulates bone development</t>
  </si>
  <si>
    <t xml:space="preserve">R-HSA-164952</t>
  </si>
  <si>
    <t xml:space="preserve">The role of Nef in HIV-1 replication and disease pathogenesis</t>
  </si>
  <si>
    <t xml:space="preserve">R-HSA-442755</t>
  </si>
  <si>
    <t xml:space="preserve">Activation of NMDA receptors and postsynaptic events</t>
  </si>
  <si>
    <t xml:space="preserve">R-HSA-2871796</t>
  </si>
  <si>
    <t xml:space="preserve">FCERI mediated MAPK activation</t>
  </si>
  <si>
    <t xml:space="preserve">R-HSA-168898</t>
  </si>
  <si>
    <t xml:space="preserve">Toll-like Receptor Cascades</t>
  </si>
  <si>
    <t xml:space="preserve">R-HSA-450292;R-HSA-450325;R-HSA-8869667</t>
  </si>
  <si>
    <t xml:space="preserve">R-HSA-1483206</t>
  </si>
  <si>
    <t xml:space="preserve">Glycerophospholipid biosynthesis</t>
  </si>
  <si>
    <t xml:space="preserve">R-HSA-9006934</t>
  </si>
  <si>
    <t xml:space="preserve">Signaling by Receptor Tyrosine Kinases</t>
  </si>
  <si>
    <t xml:space="preserve">R-HSA-9612243;R-HSA-5218824;R-HSA-8874079;R-HSA-382061;R-HSA-5218838;R-HSA-187678</t>
  </si>
  <si>
    <t xml:space="preserve">R-HSA-425407</t>
  </si>
  <si>
    <t xml:space="preserve">SLC-mediated transmembrane transport</t>
  </si>
  <si>
    <t xml:space="preserve">R-HSA-375776;R-HSA-433089;R-HSA-5229283</t>
  </si>
  <si>
    <t xml:space="preserve">R-HSA-2559580</t>
  </si>
  <si>
    <t xml:space="preserve">Oxidative Stress Induced Senescence</t>
  </si>
  <si>
    <t xml:space="preserve">R-HSA-6806834</t>
  </si>
  <si>
    <t xml:space="preserve">Signaling by MET</t>
  </si>
  <si>
    <t xml:space="preserve">R-HSA-5673001</t>
  </si>
  <si>
    <t xml:space="preserve">RAF/MAP kinase cascade</t>
  </si>
  <si>
    <t xml:space="preserve">R-HSA-1236394</t>
  </si>
  <si>
    <t xml:space="preserve">Signaling by ERBB4</t>
  </si>
  <si>
    <t xml:space="preserve">R-HSA-187037</t>
  </si>
  <si>
    <t xml:space="preserve">Signaling by NTRK1 (TRKA)</t>
  </si>
  <si>
    <t xml:space="preserve">R-HSA-168643</t>
  </si>
  <si>
    <t xml:space="preserve">Nucleotide-binding domain, leucine rich repeat containing receptor (NLR) signaling pathways</t>
  </si>
  <si>
    <t xml:space="preserve">R-HSA-381119</t>
  </si>
  <si>
    <t xml:space="preserve">Unfolded Protein Response (UPR)</t>
  </si>
  <si>
    <t xml:space="preserve">R-HSA-8874212;R-HSA-8874194;R-HSA-8874193;R-HSA-1791164;R-HSA-8874184</t>
  </si>
  <si>
    <t xml:space="preserve">R-HSA-199977</t>
  </si>
  <si>
    <t xml:space="preserve">ER to Golgi Anterograde Transport</t>
  </si>
  <si>
    <t xml:space="preserve">R-HSA-5694439;R-HSA-5694418;R-HSA-203973;R-HSA-5694417;R-HSA-5694446;R-HSA-5694527;R-HSA-5694428;R-HSA-204008;R-HSA-5694522;R-HSA-5694441;R-HSA-5694409</t>
  </si>
  <si>
    <t xml:space="preserve">R-HSA-216083</t>
  </si>
  <si>
    <t xml:space="preserve">Integrin cell surface interactions</t>
  </si>
  <si>
    <t xml:space="preserve">R-HSA-216050;R-HSA-349603;R-HSA-349593</t>
  </si>
  <si>
    <t xml:space="preserve">R-HSA-111885</t>
  </si>
  <si>
    <t xml:space="preserve">Opioid Signalling</t>
  </si>
  <si>
    <t xml:space="preserve">R-HSA-2173796</t>
  </si>
  <si>
    <t xml:space="preserve">SMAD2/SMAD3:SMAD4 heterotrimer regulates transcription</t>
  </si>
  <si>
    <t xml:space="preserve">R-HSA-2106586</t>
  </si>
  <si>
    <t xml:space="preserve">R-HSA-9009391</t>
  </si>
  <si>
    <t xml:space="preserve">Extra-nuclear estrogen signaling</t>
  </si>
  <si>
    <t xml:space="preserve">R-HSA-449836</t>
  </si>
  <si>
    <t xml:space="preserve">Other interleukin signaling</t>
  </si>
  <si>
    <t xml:space="preserve">R-HSA-446728</t>
  </si>
  <si>
    <t xml:space="preserve">Cell junction organization</t>
  </si>
  <si>
    <t xml:space="preserve">R-HSA-975138</t>
  </si>
  <si>
    <t xml:space="preserve">TRAF6 mediated induction of NFkB and MAP kinases upon TLR7/8 or 9 activation</t>
  </si>
  <si>
    <t xml:space="preserve">R-HSA-381038</t>
  </si>
  <si>
    <t xml:space="preserve">XBP1(S) activates chaperone genes</t>
  </si>
  <si>
    <t xml:space="preserve">R-HSA-1791164</t>
  </si>
  <si>
    <t xml:space="preserve">R-HSA-948021</t>
  </si>
  <si>
    <t xml:space="preserve">Transport to the Golgi and subsequent modification</t>
  </si>
  <si>
    <t xml:space="preserve">R-HSA-381070</t>
  </si>
  <si>
    <t xml:space="preserve">IRE1alpha activates chaperones</t>
  </si>
  <si>
    <t xml:space="preserve">R-HSA-975871</t>
  </si>
  <si>
    <t xml:space="preserve">MyD88 cascade initiated on plasma membrane</t>
  </si>
  <si>
    <t xml:space="preserve">R-HSA-8986944</t>
  </si>
  <si>
    <t xml:space="preserve">Transcriptional Regulation by MECP2</t>
  </si>
  <si>
    <t xml:space="preserve">R-HSA-168176</t>
  </si>
  <si>
    <t xml:space="preserve">Toll Like Receptor 5 (TLR5) Cascade</t>
  </si>
  <si>
    <t xml:space="preserve">R-HSA-168142</t>
  </si>
  <si>
    <t xml:space="preserve">Toll Like Receptor 10 (TLR10) Cascade</t>
  </si>
  <si>
    <t xml:space="preserve">R-HSA-432720</t>
  </si>
  <si>
    <t xml:space="preserve">Lysosome Vesicle Biogenesis</t>
  </si>
  <si>
    <t xml:space="preserve">R-HSA-5229132</t>
  </si>
  <si>
    <t xml:space="preserve">R-HSA-5693606</t>
  </si>
  <si>
    <t xml:space="preserve">DNA Double Strand Break Response</t>
  </si>
  <si>
    <t xml:space="preserve">R-HSA-5684996</t>
  </si>
  <si>
    <t xml:space="preserve">MAPK1/MAPK3 signaling</t>
  </si>
  <si>
    <t xml:space="preserve">R-HSA-975155</t>
  </si>
  <si>
    <t xml:space="preserve">MyD88 dependent cascade initiated on endosome</t>
  </si>
  <si>
    <t xml:space="preserve">R-HSA-168181</t>
  </si>
  <si>
    <t xml:space="preserve">Toll Like Receptor 7/8 (TLR7/8) Cascade</t>
  </si>
  <si>
    <t xml:space="preserve">R-HSA-168138</t>
  </si>
  <si>
    <t xml:space="preserve">Toll Like Receptor 9 (TLR9) Cascade</t>
  </si>
  <si>
    <t xml:space="preserve">R-HSA-416476</t>
  </si>
  <si>
    <t xml:space="preserve">G alpha (q) signalling events</t>
  </si>
  <si>
    <t xml:space="preserve">R-HSA-749448;R-HSA-749452;R-HSA-379048</t>
  </si>
  <si>
    <t xml:space="preserve">R-HSA-425366</t>
  </si>
  <si>
    <t xml:space="preserve">Transport of bile salts and organic acids, metal ions and amine compounds</t>
  </si>
  <si>
    <t xml:space="preserve">R-HSA-433089</t>
  </si>
  <si>
    <t xml:space="preserve">R-HSA-166058</t>
  </si>
  <si>
    <t xml:space="preserve">MyD88:MAL(TIRAP) cascade initiated on plasma membrane</t>
  </si>
  <si>
    <t xml:space="preserve">R-HSA-168164</t>
  </si>
  <si>
    <t xml:space="preserve">Toll Like Receptor 3 (TLR3) Cascade</t>
  </si>
  <si>
    <t xml:space="preserve">R-HSA-168179</t>
  </si>
  <si>
    <t xml:space="preserve">Toll Like Receptor TLR1:TLR2 Cascade</t>
  </si>
  <si>
    <t xml:space="preserve">R-HSA-168188</t>
  </si>
  <si>
    <t xml:space="preserve">Toll Like Receptor TLR6:TLR2 Cascade</t>
  </si>
  <si>
    <t xml:space="preserve">R-HSA-181438</t>
  </si>
  <si>
    <t xml:space="preserve">Toll Like Receptor 2 (TLR2) Cascade</t>
  </si>
  <si>
    <t xml:space="preserve">R-HSA-8878159</t>
  </si>
  <si>
    <t xml:space="preserve">Transcriptional regulation by RUNX3</t>
  </si>
  <si>
    <t xml:space="preserve">R-HSA-381340</t>
  </si>
  <si>
    <t xml:space="preserve">Transcriptional regulation of white adipocyte differentiation</t>
  </si>
  <si>
    <t xml:space="preserve">R-HSA-381283;R-HSA-381262</t>
  </si>
  <si>
    <t xml:space="preserve">R-HSA-1483257</t>
  </si>
  <si>
    <t xml:space="preserve">Phospholipid metabolism</t>
  </si>
  <si>
    <t xml:space="preserve">R-HSA-937061</t>
  </si>
  <si>
    <t xml:space="preserve">TRIF(TICAM1)-mediated TLR4 signaling </t>
  </si>
  <si>
    <t xml:space="preserve">R-HSA-166166</t>
  </si>
  <si>
    <t xml:space="preserve">MyD88-independent TLR4 cascade </t>
  </si>
  <si>
    <t xml:space="preserve">R-HSA-2980736</t>
  </si>
  <si>
    <t xml:space="preserve">Peptide hormone metabolism</t>
  </si>
  <si>
    <t xml:space="preserve">R-HSA-2454202</t>
  </si>
  <si>
    <t xml:space="preserve">Fc epsilon receptor (FCERI) signaling</t>
  </si>
  <si>
    <t xml:space="preserve">R-HSA-2173793</t>
  </si>
  <si>
    <t xml:space="preserve">Transcriptional activity of SMAD2/SMAD3:SMAD4 heterotrimer</t>
  </si>
  <si>
    <t xml:space="preserve">R-HSA-5621481</t>
  </si>
  <si>
    <t xml:space="preserve">C-type lectin receptors (CLRs)</t>
  </si>
  <si>
    <t xml:space="preserve">R-HSA-4090294</t>
  </si>
  <si>
    <t xml:space="preserve">SUMOylation of intracellular receptors</t>
  </si>
  <si>
    <t xml:space="preserve">R-HSA-4717461</t>
  </si>
  <si>
    <t xml:space="preserve">R-HSA-166520</t>
  </si>
  <si>
    <t xml:space="preserve">Signaling by NTRKs</t>
  </si>
  <si>
    <t xml:space="preserve">R-HSA-8878166</t>
  </si>
  <si>
    <t xml:space="preserve">Transcriptional regulation by RUNX2</t>
  </si>
  <si>
    <t xml:space="preserve">R-HSA-8985644;R-HSA-8939667</t>
  </si>
  <si>
    <t xml:space="preserve">R-HSA-166016</t>
  </si>
  <si>
    <t xml:space="preserve">Toll Like Receptor 4 (TLR4) Cascade</t>
  </si>
  <si>
    <t xml:space="preserve">R-HSA-199992</t>
  </si>
  <si>
    <t xml:space="preserve">trans-Golgi Network Vesicle Budding</t>
  </si>
  <si>
    <t xml:space="preserve">R-HSA-112315</t>
  </si>
  <si>
    <t xml:space="preserve">Transmission across Chemical Synapses</t>
  </si>
  <si>
    <t xml:space="preserve">R-HSA-372519;R-HSA-9619127;R-HSA-112282</t>
  </si>
  <si>
    <t xml:space="preserve">R-HSA-199991</t>
  </si>
  <si>
    <t xml:space="preserve">Membrane Trafficking</t>
  </si>
  <si>
    <t xml:space="preserve">P04114;P01009</t>
  </si>
  <si>
    <t xml:space="preserve">R-HSA-8868230;R-HSA-5229132;R-HSA-5694418;R-HSA-203973;R-HSA-5694417;R-HSA-5694428;R-HSA-8868236;R-HSA-8871194;R-HSA-8871193;R-HSA-5694409;R-HSA-8868071;R-HSA-8863471;R-HSA-5694527;R-HSA-204008;R-HSA-8867756;R-HSA-5694522;R-HSA-8868651;R-HSA-8867754;R-HSA-8868072;R-HSA-8868648;R-HSA-5694439;R-HSA-8868661;R-HSA-8868660;R-HSA-8868659;R-HSA-8868658;R-HSA-5694446;R-HSA-8869438;R-HSA-5694441</t>
  </si>
  <si>
    <t xml:space="preserve">R-HSA-983169</t>
  </si>
  <si>
    <t xml:space="preserve">Class I MHC mediated antigen processing &amp; presentation</t>
  </si>
  <si>
    <t xml:space="preserve">R-HSA-198933</t>
  </si>
  <si>
    <t xml:space="preserve">Immunoregulatory interactions between a Lymphoid and a non-Lymphoid cell</t>
  </si>
  <si>
    <t xml:space="preserve">R-HSA-199518</t>
  </si>
  <si>
    <t xml:space="preserve">R-HSA-8939211</t>
  </si>
  <si>
    <t xml:space="preserve">ESR-mediated signaling</t>
  </si>
  <si>
    <t xml:space="preserve">R-HSA-9625465;R-HSA-9012196</t>
  </si>
  <si>
    <t xml:space="preserve">R-HSA-2559583</t>
  </si>
  <si>
    <t xml:space="preserve">Cellular Senescence</t>
  </si>
  <si>
    <t xml:space="preserve">R-HSA-556833</t>
  </si>
  <si>
    <t xml:space="preserve">Metabolism of lipids</t>
  </si>
  <si>
    <t xml:space="preserve">P02647;P06276;P02652</t>
  </si>
  <si>
    <t xml:space="preserve">R-HSA-372519;R-HSA-1989754;R-HSA-8862380;R-HSA-1989776</t>
  </si>
  <si>
    <t xml:space="preserve">R-HSA-9006931</t>
  </si>
  <si>
    <t xml:space="preserve">Signaling by Nuclear Receptors</t>
  </si>
  <si>
    <t xml:space="preserve">R-HSA-2262752</t>
  </si>
  <si>
    <t xml:space="preserve">Cellular responses to stress</t>
  </si>
  <si>
    <t xml:space="preserve">R-HSA-450292;R-HSA-450325;R-HSA-3341397</t>
  </si>
  <si>
    <t xml:space="preserve">R-HSA-162909</t>
  </si>
  <si>
    <t xml:space="preserve">Host Interactions of HIV factors</t>
  </si>
  <si>
    <t xml:space="preserve">R-HSA-170834</t>
  </si>
  <si>
    <t xml:space="preserve">Signaling by TGF-beta Receptor Complex</t>
  </si>
  <si>
    <t xml:space="preserve">R-HSA-8848021</t>
  </si>
  <si>
    <t xml:space="preserve">Signaling by PTK6</t>
  </si>
  <si>
    <t xml:space="preserve">R-HSA-9006927</t>
  </si>
  <si>
    <t xml:space="preserve">Signaling by Non-Receptor Tyrosine Kinases</t>
  </si>
  <si>
    <t xml:space="preserve">R-HSA-5693532</t>
  </si>
  <si>
    <t xml:space="preserve">DNA Double-Strand Break Repair</t>
  </si>
  <si>
    <t xml:space="preserve">R-HSA-5683057</t>
  </si>
  <si>
    <t xml:space="preserve">MAPK family signaling cascades</t>
  </si>
  <si>
    <t xml:space="preserve">R-HSA-162582</t>
  </si>
  <si>
    <t xml:space="preserve">Signal Transduction</t>
  </si>
  <si>
    <t xml:space="preserve">P04114;O95445;P00747;P00734;P06727;P02647;P02775;P01024;P02652;P02751</t>
  </si>
  <si>
    <t xml:space="preserve">R-HSA-749448;R-HSA-749454;R-HSA-429441;R-HSA-2404131;R-HSA-749452;R-HSA-2404140;R-HSA-444171;R-HSA-354066;R-HSA-2424254;R-HSA-112282;R-HSA-749456;R-HSA-354073;R-HSA-187678;R-HSA-354087;R-HSA-9619127;R-HSA-377644;R-HSA-377641;R-HSA-2395784;R-HSA-380073;R-HSA-377640;R-HSA-379048;R-HSA-377643;R-HSA-373813;R-HSA-373061;R-HSA-9612243;R-HSA-5672980;R-HSA-5672978;R-HSA-964811;R-HSA-5218824;R-HSA-354124;R-HSA-2423785;R-HSA-372693;R-HSA-2395764;R-HSA-389463;R-HSA-8848596;R-HSA-5666049;R-HSA-8874079;R-HSA-5218838;R-HSA-8848606;R-HSA-5672972;R-HSA-5672973;R-HSA-372697;R-HSA-2395768;R-HSA-5246478;R-HSA-354149;R-HSA-429415;R-HSA-444647;R-HSA-372705;R-HSA-8848611;R-HSA-2187332;R-HSA-382061;R-HSA-9625465;R-HSA-9012196;R-HSA-2429643;R-HSA-354165;R-HSA-2106586</t>
  </si>
  <si>
    <t xml:space="preserve">R-HSA-112314</t>
  </si>
  <si>
    <t xml:space="preserve">Neurotransmitter receptors and postsynaptic signal transmission</t>
  </si>
  <si>
    <t xml:space="preserve">R-HSA-112316</t>
  </si>
  <si>
    <t xml:space="preserve">Neuronal System</t>
  </si>
  <si>
    <t xml:space="preserve">R-HSA-9006936</t>
  </si>
  <si>
    <t xml:space="preserve">Signaling by TGF-beta family members</t>
  </si>
  <si>
    <t xml:space="preserve">R-HSA-1280218</t>
  </si>
  <si>
    <t xml:space="preserve">Adaptive Immune System</t>
  </si>
  <si>
    <t xml:space="preserve">R-HSA-983148;R-HSA-983161;R-HSA-199518;R-HSA-389354</t>
  </si>
  <si>
    <t xml:space="preserve">R-HSA-195258</t>
  </si>
  <si>
    <t xml:space="preserve">RHO GTPase Effectors</t>
  </si>
  <si>
    <t xml:space="preserve">R-HSA-8864260</t>
  </si>
  <si>
    <t xml:space="preserve">Transcriptional regulation by the AP-2 (TFAP2) family of transcription factors</t>
  </si>
  <si>
    <t xml:space="preserve">R-HSA-8869590</t>
  </si>
  <si>
    <t xml:space="preserve">R-HSA-8953897</t>
  </si>
  <si>
    <t xml:space="preserve">Cellular responses to external stimuli</t>
  </si>
  <si>
    <t xml:space="preserve">R-HSA-8862803</t>
  </si>
  <si>
    <t xml:space="preserve">Deregulated CDK5 triggers multiple neurodegenerative pathways in Alzheimer's disease models</t>
  </si>
  <si>
    <t xml:space="preserve">R-HSA-8870710;R-HSA-8863009</t>
  </si>
  <si>
    <t xml:space="preserve">R-HSA-8863678</t>
  </si>
  <si>
    <t xml:space="preserve">Neurodegenerative Diseases</t>
  </si>
  <si>
    <t xml:space="preserve">R-HSA-162906</t>
  </si>
  <si>
    <t xml:space="preserve">HIV Infection</t>
  </si>
  <si>
    <t xml:space="preserve">R-HSA-9018519</t>
  </si>
  <si>
    <t xml:space="preserve">Estrogen-dependent gene expression</t>
  </si>
  <si>
    <t xml:space="preserve">R-HSA-9012196</t>
  </si>
  <si>
    <t xml:space="preserve">R-HSA-194315</t>
  </si>
  <si>
    <t xml:space="preserve">Signaling by Rho GTPases</t>
  </si>
  <si>
    <t xml:space="preserve">R-HSA-1430728</t>
  </si>
  <si>
    <t xml:space="preserve">Metabolism</t>
  </si>
  <si>
    <t xml:space="preserve">P04114;O95445;P06727;P02647;P06276;P02652</t>
  </si>
  <si>
    <t xml:space="preserve">R-HSA-372519;R-HSA-1989754;R-HSA-2187332;R-HSA-2404131;R-HSA-2404140;R-HSA-8862380;R-HSA-2395784;R-HSA-2423785;R-HSA-1989776;R-HSA-2429643;R-HSA-2395764;R-HSA-2424254;R-HSA-2395768;R-HSA-5246478</t>
  </si>
  <si>
    <t xml:space="preserve">R-HSA-3108232</t>
  </si>
  <si>
    <t xml:space="preserve">SUMO E3 ligases SUMOylate target proteins</t>
  </si>
  <si>
    <t xml:space="preserve">R-HSA-4717461;R-HSA-4551721</t>
  </si>
  <si>
    <t xml:space="preserve">R-HSA-9006925</t>
  </si>
  <si>
    <t xml:space="preserve">Intracellular signaling by second messengers</t>
  </si>
  <si>
    <t xml:space="preserve">R-HSA-2990846</t>
  </si>
  <si>
    <t xml:space="preserve">SUMOylation</t>
  </si>
  <si>
    <t xml:space="preserve">R-HSA-5663202</t>
  </si>
  <si>
    <t xml:space="preserve">Diseases of signal transduction</t>
  </si>
  <si>
    <t xml:space="preserve">R-HSA-73894</t>
  </si>
  <si>
    <t xml:space="preserve">DNA Repair</t>
  </si>
  <si>
    <t xml:space="preserve">R-HSA-449147</t>
  </si>
  <si>
    <t xml:space="preserve">Signaling by Interleukins</t>
  </si>
  <si>
    <t xml:space="preserve">R-HSA-6785895;R-HSA-5672980;R-HSA-450292;R-HSA-450325;R-HSA-5672978;R-HSA-9605259;R-HSA-5672972;R-HSA-5672973</t>
  </si>
  <si>
    <t xml:space="preserve">R-HSA-5663205</t>
  </si>
  <si>
    <t xml:space="preserve">Infectious disease</t>
  </si>
  <si>
    <t xml:space="preserve">R-HSA-1280215</t>
  </si>
  <si>
    <t xml:space="preserve">Cytokine Signaling in Immune system</t>
  </si>
  <si>
    <t xml:space="preserve">R-HSA-422475</t>
  </si>
  <si>
    <t xml:space="preserve">Axon guidance</t>
  </si>
  <si>
    <t xml:space="preserve">R-HSA-8855237;R-HSA-391867</t>
  </si>
  <si>
    <t xml:space="preserve">R-HSA-1643685</t>
  </si>
  <si>
    <t xml:space="preserve">Disease</t>
  </si>
  <si>
    <t xml:space="preserve">P02647;P02751</t>
  </si>
  <si>
    <t xml:space="preserve">R-HSA-6802919;R-HSA-6802918;R-HSA-6802914;R-HSA-6803234;R-HSA-6803233;R-HSA-8863009;R-HSA-6802912;R-HSA-6802926;R-HSA-5682111;R-HSA-6802925;R-HSA-6802922;R-HSA-6802921;R-HSA-200908;R-HSA-6802935;R-HSA-6802934;R-HSA-8870710;R-HSA-6802933;R-HSA-6802932;R-HSA-6802911;R-HSA-6802943;R-HSA-6802910;R-HSA-6803230;R-HSA-6802942;R-HSA-6803227</t>
  </si>
  <si>
    <t xml:space="preserve">R-HSA-212436</t>
  </si>
  <si>
    <t xml:space="preserve">Generic Transcription Pathway</t>
  </si>
  <si>
    <t xml:space="preserve">R-HSA-8869590;R-HSA-8985644;R-HSA-1989766;R-HSA-9017441;R-HSA-2106586;R-HSA-8939667</t>
  </si>
  <si>
    <t xml:space="preserve">R-HSA-73857</t>
  </si>
  <si>
    <t xml:space="preserve">RNA Polymerase II Transcription</t>
  </si>
  <si>
    <t xml:space="preserve">R-HSA-74160</t>
  </si>
  <si>
    <t xml:space="preserve">Gene expression (Transcription)</t>
  </si>
  <si>
    <t xml:space="preserve">R-HSA-1266738</t>
  </si>
  <si>
    <t xml:space="preserve">Developmental Biology</t>
  </si>
  <si>
    <t xml:space="preserve">R-HSA-8855237;R-HSA-381283;R-HSA-381262;R-HSA-391867</t>
  </si>
  <si>
    <t xml:space="preserve">Main pathway</t>
  </si>
  <si>
    <t xml:space="preserve">Disease: Transmembrane transporters</t>
  </si>
  <si>
    <t xml:space="preserve">Gene expression: Transcription</t>
  </si>
  <si>
    <t xml:space="preserve">Immune system</t>
  </si>
  <si>
    <t xml:space="preserve">Immune system: innate</t>
  </si>
  <si>
    <t xml:space="preserve">metabolism of proteins</t>
  </si>
  <si>
    <t xml:space="preserve">Metabolism of proteins: PTM</t>
  </si>
  <si>
    <t xml:space="preserve">Signal transduction-Metabolism</t>
  </si>
  <si>
    <t xml:space="preserve">Pathway</t>
  </si>
  <si>
    <t xml:space="preserve">Protein</t>
  </si>
  <si>
    <t xml:space="preserve">P04114;O75636;P08603;P04217;P19652;P15169;P00738;P00736;P00734;P07360;P01009;P02765;P22792;P05155;P02775;P02763;P05156;P02751;P04003;P10909;P07357;P07225, P01024</t>
  </si>
  <si>
    <t xml:space="preserve">P04114;P05546;P01009;P01008;P02647;P02765;P01024;P02652;P02751, P06727;P02743, P07225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</si>
</sst>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E+00"/>
    <numFmt numFmtId="166" formatCode="@"/>
    <numFmt numFmtId="167" formatCode="0.00%"/>
    <numFmt numFmtId="168" formatCode="0.0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1"/>
      <color rgb="FFC0504D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C0504D"/>
      <name val="Calibri"/>
      <family val="2"/>
      <charset val="1"/>
    </font>
    <font>
      <b val="true"/>
      <sz val="18"/>
      <color rgb="FF000000"/>
      <name val="Calibri"/>
      <family val="2"/>
    </font>
    <font>
      <sz val="12"/>
      <color rgb="FF000000"/>
      <name val="Calibri"/>
      <family val="2"/>
    </font>
    <font>
      <sz val="10.5"/>
      <color rgb="FF000000"/>
      <name val="Calibri"/>
      <family val="2"/>
    </font>
    <font>
      <sz val="11"/>
      <color rgb="FF948A54"/>
      <name val="Calibri"/>
      <family val="2"/>
      <charset val="1"/>
    </font>
    <font>
      <sz val="11"/>
      <color rgb="FF95B3D7"/>
      <name val="Calibri"/>
      <family val="2"/>
      <charset val="1"/>
    </font>
    <font>
      <sz val="11"/>
      <color rgb="FFE46C0A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rgb="FF7F7F7F"/>
      <name val="Calibri"/>
      <family val="2"/>
      <charset val="1"/>
    </font>
    <font>
      <sz val="11"/>
      <color rgb="FF953735"/>
      <name val="Calibri"/>
      <family val="2"/>
      <charset val="1"/>
    </font>
    <font>
      <sz val="11"/>
      <color rgb="FF604A7B"/>
      <name val="Calibri"/>
      <family val="2"/>
      <charset val="1"/>
    </font>
    <font>
      <sz val="8"/>
      <color rgb="FF000000"/>
      <name val="Verdana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3D69B"/>
        <bgColor rgb="FFB8CD97"/>
      </patternFill>
    </fill>
    <fill>
      <patternFill patternType="solid">
        <fgColor rgb="FF92D050"/>
        <bgColor rgb="FF9BBB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7F7F7F"/>
      <rgbColor rgb="FF93A9CE"/>
      <rgbColor rgb="FF953735"/>
      <rgbColor rgb="FFFFFFCC"/>
      <rgbColor rgb="FFCCFFFF"/>
      <rgbColor rgb="FF660066"/>
      <rgbColor rgb="FFDC853E"/>
      <rgbColor rgb="FF0066CC"/>
      <rgbColor rgb="FF9BBB5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5B3D7"/>
      <rgbColor rgb="FFD09493"/>
      <rgbColor rgb="FF8064A2"/>
      <rgbColor rgb="FFC3D69B"/>
      <rgbColor rgb="FF4672A8"/>
      <rgbColor rgb="FF4BACC6"/>
      <rgbColor rgb="FF92D050"/>
      <rgbColor rgb="FFFFCC00"/>
      <rgbColor rgb="FFF79646"/>
      <rgbColor rgb="FFE46C0A"/>
      <rgbColor rgb="FF725990"/>
      <rgbColor rgb="FF948A54"/>
      <rgbColor rgb="FF003366"/>
      <rgbColor rgb="FF4299B0"/>
      <rgbColor rgb="FF003300"/>
      <rgbColor rgb="FF333300"/>
      <rgbColor rgb="FFC0504D"/>
      <rgbColor rgb="FFAB4744"/>
      <rgbColor rgb="FF604A7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Cellular Component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"Cellular Component"</c:f>
              <c:strCache>
                <c:ptCount val="1"/>
                <c:pt idx="0">
                  <c:v>Cellular Component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>
                <a:noFill/>
              </a:ln>
            </c:spPr>
          </c:dPt>
          <c:dPt>
            <c:idx val="1"/>
            <c:spPr>
              <a:solidFill>
                <a:srgbClr val="ab4744"/>
              </a:solidFill>
              <a:ln>
                <a:noFill/>
              </a:ln>
            </c:spPr>
          </c:dPt>
          <c:dPt>
            <c:idx val="2"/>
            <c:spPr>
              <a:solidFill>
                <a:srgbClr val="8aa64f"/>
              </a:solidFill>
              <a:ln>
                <a:noFill/>
              </a:ln>
            </c:spPr>
          </c:dPt>
          <c:dPt>
            <c:idx val="3"/>
            <c:spPr>
              <a:solidFill>
                <a:srgbClr val="725990"/>
              </a:solidFill>
              <a:ln>
                <a:noFill/>
              </a:ln>
            </c:spPr>
          </c:dPt>
          <c:dPt>
            <c:idx val="4"/>
            <c:spPr>
              <a:solidFill>
                <a:srgbClr val="4299b0"/>
              </a:solidFill>
              <a:ln>
                <a:noFill/>
              </a:ln>
            </c:spPr>
          </c:dPt>
          <c:dPt>
            <c:idx val="5"/>
            <c:spPr>
              <a:solidFill>
                <a:srgbClr val="dc853e"/>
              </a:solidFill>
              <a:ln>
                <a:noFill/>
              </a:ln>
            </c:spPr>
          </c:dPt>
          <c:dPt>
            <c:idx val="6"/>
            <c:spPr>
              <a:solidFill>
                <a:srgbClr val="93a9ce"/>
              </a:solidFill>
              <a:ln>
                <a:noFill/>
              </a:ln>
            </c:spPr>
          </c:dPt>
          <c:dPt>
            <c:idx val="7"/>
            <c:spPr>
              <a:solidFill>
                <a:srgbClr val="d09493"/>
              </a:solidFill>
              <a:ln>
                <a:noFill/>
              </a:ln>
            </c:spPr>
          </c:dPt>
          <c:dLbls>
            <c:numFmt formatCode="0.0" sourceLinked="1"/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4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5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6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7"/>
              <c:dLblPos val="bestFit"/>
              <c:showLegendKey val="0"/>
              <c:showVal val="0"/>
              <c:showCatName val="0"/>
              <c:showSerName val="0"/>
              <c:showPercent val="1"/>
            </c:dLbl>
            <c:dLblPos val="bestFit"/>
            <c:showLegendKey val="0"/>
            <c:showVal val="0"/>
            <c:showCatName val="0"/>
            <c:showSerName val="0"/>
            <c:showPercent val="1"/>
            <c:showLeaderLines val="0"/>
          </c:dLbls>
          <c:cat>
            <c:strRef>
              <c:f>Localization!$B$58:$B$65</c:f>
              <c:strCache>
                <c:ptCount val="8"/>
                <c:pt idx="0">
                  <c:v>Extracellular</c:v>
                </c:pt>
                <c:pt idx="1">
                  <c:v>Plasma membrane</c:v>
                </c:pt>
                <c:pt idx="2">
                  <c:v>Endoplasmatic reticulum</c:v>
                </c:pt>
                <c:pt idx="3">
                  <c:v>Organelle</c:v>
                </c:pt>
                <c:pt idx="4">
                  <c:v>Cytosol</c:v>
                </c:pt>
                <c:pt idx="5">
                  <c:v>Lipoprotein particle</c:v>
                </c:pt>
                <c:pt idx="6">
                  <c:v>Nucleus</c:v>
                </c:pt>
                <c:pt idx="7">
                  <c:v>Cytoplasmic vesicle</c:v>
                </c:pt>
              </c:strCache>
            </c:strRef>
          </c:cat>
          <c:val>
            <c:numRef>
              <c:f>Localization!$D$58:$D$65</c:f>
              <c:numCache>
                <c:formatCode>General</c:formatCode>
                <c:ptCount val="8"/>
                <c:pt idx="0">
                  <c:v>44.5544554455446</c:v>
                </c:pt>
                <c:pt idx="1">
                  <c:v>17.8217821782178</c:v>
                </c:pt>
                <c:pt idx="2">
                  <c:v>14.8514851485149</c:v>
                </c:pt>
                <c:pt idx="3">
                  <c:v>6.93069306930693</c:v>
                </c:pt>
                <c:pt idx="4">
                  <c:v>5.94059405940594</c:v>
                </c:pt>
                <c:pt idx="5">
                  <c:v>5.94059405940594</c:v>
                </c:pt>
                <c:pt idx="6">
                  <c:v>2.97029702970297</c:v>
                </c:pt>
                <c:pt idx="7">
                  <c:v>0.99009900990099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legend>
      <c:layout>
        <c:manualLayout>
          <c:xMode val="edge"/>
          <c:yMode val="edge"/>
          <c:x val="0.56125"/>
          <c:y val="0.236832531350248"/>
          <c:w val="0.341666666666667"/>
          <c:h val="0.692286380869058"/>
        </c:manualLayout>
      </c:layout>
      <c:spPr>
        <a:noFill/>
        <a:ln>
          <a:noFill/>
        </a:ln>
      </c:spPr>
      <c:txPr>
        <a:bodyPr/>
        <a:lstStyle/>
        <a:p>
          <a:pPr>
            <a:defRPr b="0" sz="105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Biological process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>
                <a:noFill/>
              </a:ln>
            </c:spPr>
          </c:dPt>
          <c:dPt>
            <c:idx val="1"/>
            <c:spPr>
              <a:solidFill>
                <a:srgbClr val="ab4744"/>
              </a:solidFill>
              <a:ln>
                <a:noFill/>
              </a:ln>
            </c:spPr>
          </c:dPt>
          <c:dPt>
            <c:idx val="2"/>
            <c:spPr>
              <a:solidFill>
                <a:srgbClr val="8aa64f"/>
              </a:solidFill>
              <a:ln>
                <a:noFill/>
              </a:ln>
            </c:spPr>
          </c:dPt>
          <c:dPt>
            <c:idx val="3"/>
            <c:spPr>
              <a:solidFill>
                <a:srgbClr val="725990"/>
              </a:solidFill>
              <a:ln>
                <a:noFill/>
              </a:ln>
            </c:spPr>
          </c:dPt>
          <c:dPt>
            <c:idx val="4"/>
            <c:spPr>
              <a:solidFill>
                <a:srgbClr val="4299b0"/>
              </a:solidFill>
              <a:ln>
                <a:noFill/>
              </a:ln>
            </c:spPr>
          </c:dPt>
          <c:dPt>
            <c:idx val="5"/>
            <c:spPr>
              <a:solidFill>
                <a:srgbClr val="dc853e"/>
              </a:solidFill>
              <a:ln>
                <a:noFill/>
              </a:ln>
            </c:spPr>
          </c:dPt>
          <c:dPt>
            <c:idx val="6"/>
            <c:spPr>
              <a:solidFill>
                <a:srgbClr val="93a9ce"/>
              </a:solidFill>
              <a:ln>
                <a:noFill/>
              </a:ln>
            </c:spPr>
          </c:dPt>
          <c:dPt>
            <c:idx val="7"/>
            <c:spPr>
              <a:solidFill>
                <a:srgbClr val="d09493"/>
              </a:solidFill>
              <a:ln>
                <a:noFill/>
              </a:ln>
            </c:spPr>
          </c:dPt>
          <c:dPt>
            <c:idx val="8"/>
            <c:spPr>
              <a:solidFill>
                <a:srgbClr val="b8cd97"/>
              </a:solidFill>
              <a:ln>
                <a:noFill/>
              </a:ln>
            </c:spPr>
          </c:dPt>
          <c:dLbls>
            <c:numFmt formatCode="0.0" sourceLinked="1"/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4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5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6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7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8"/>
              <c:dLblPos val="bestFit"/>
              <c:showLegendKey val="0"/>
              <c:showVal val="0"/>
              <c:showCatName val="0"/>
              <c:showSerName val="0"/>
              <c:showPercent val="1"/>
            </c:dLbl>
            <c:dLblPos val="bestFit"/>
            <c:showLegendKey val="0"/>
            <c:showVal val="0"/>
            <c:showCatName val="0"/>
            <c:showSerName val="0"/>
            <c:showPercent val="1"/>
            <c:showLeaderLines val="0"/>
          </c:dLbls>
          <c:cat>
            <c:strRef>
              <c:f>'Biological Process'!$I$24:$I$32</c:f>
              <c:strCache>
                <c:ptCount val="9"/>
                <c:pt idx="0">
                  <c:v>Metabolic process</c:v>
                </c:pt>
                <c:pt idx="1">
                  <c:v>Cellular process</c:v>
                </c:pt>
                <c:pt idx="2">
                  <c:v>Immune system process</c:v>
                </c:pt>
                <c:pt idx="3">
                  <c:v>Response to stimulus</c:v>
                </c:pt>
                <c:pt idx="4">
                  <c:v>Biological regulation</c:v>
                </c:pt>
                <c:pt idx="5">
                  <c:v>Localization</c:v>
                </c:pt>
                <c:pt idx="6">
                  <c:v>Biological adhesion</c:v>
                </c:pt>
                <c:pt idx="7">
                  <c:v>Multicellular organismal process</c:v>
                </c:pt>
                <c:pt idx="8">
                  <c:v>Unknown</c:v>
                </c:pt>
              </c:strCache>
            </c:strRef>
          </c:cat>
          <c:val>
            <c:numRef>
              <c:f>'Biological Process'!$K$24:$K$32</c:f>
              <c:numCache>
                <c:formatCode>General</c:formatCode>
                <c:ptCount val="9"/>
                <c:pt idx="0">
                  <c:v>28.3950617283951</c:v>
                </c:pt>
                <c:pt idx="1">
                  <c:v>20.9876543209877</c:v>
                </c:pt>
                <c:pt idx="2">
                  <c:v>19.7530864197531</c:v>
                </c:pt>
                <c:pt idx="3">
                  <c:v>14.8148148148148</c:v>
                </c:pt>
                <c:pt idx="4">
                  <c:v>6.17283950617284</c:v>
                </c:pt>
                <c:pt idx="5">
                  <c:v>3.7037037037037</c:v>
                </c:pt>
                <c:pt idx="6">
                  <c:v>2.46913580246914</c:v>
                </c:pt>
                <c:pt idx="7">
                  <c:v>2.46913580246914</c:v>
                </c:pt>
                <c:pt idx="8">
                  <c:v>1.23456790123457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legend>
      <c:layout>
        <c:manualLayout>
          <c:xMode val="edge"/>
          <c:yMode val="edge"/>
          <c:x val="0.512777559055118"/>
          <c:y val="0.157553222513852"/>
          <c:w val="0.476111329833771"/>
          <c:h val="0.809777996500437"/>
        </c:manualLayout>
      </c:layout>
      <c:spPr>
        <a:noFill/>
        <a:ln>
          <a:noFill/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Biological Process</a:t>
            </a:r>
          </a:p>
        </c:rich>
      </c:tx>
      <c:layout>
        <c:manualLayout>
          <c:xMode val="edge"/>
          <c:yMode val="edge"/>
          <c:x val="0.299474822366389"/>
          <c:y val="0.0788760519184139"/>
        </c:manualLayout>
      </c:layout>
      <c:overlay val="0"/>
      <c:spPr>
        <a:noFill/>
        <a:ln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>
                <a:noFill/>
              </a:ln>
            </c:spPr>
          </c:dPt>
          <c:dPt>
            <c:idx val="1"/>
            <c:spPr>
              <a:solidFill>
                <a:srgbClr val="c0504d"/>
              </a:solidFill>
              <a:ln>
                <a:noFill/>
              </a:ln>
            </c:spPr>
          </c:dPt>
          <c:dPt>
            <c:idx val="2"/>
            <c:spPr>
              <a:solidFill>
                <a:srgbClr val="9bbb59"/>
              </a:solidFill>
              <a:ln>
                <a:noFill/>
              </a:ln>
            </c:spPr>
          </c:dPt>
          <c:dPt>
            <c:idx val="3"/>
            <c:spPr>
              <a:solidFill>
                <a:srgbClr val="8064a2"/>
              </a:solidFill>
              <a:ln>
                <a:noFill/>
              </a:ln>
            </c:spPr>
          </c:dPt>
          <c:dPt>
            <c:idx val="4"/>
            <c:spPr>
              <a:solidFill>
                <a:srgbClr val="4bacc6"/>
              </a:solidFill>
              <a:ln>
                <a:noFill/>
              </a:ln>
            </c:spPr>
          </c:dPt>
          <c:dPt>
            <c:idx val="5"/>
            <c:spPr>
              <a:solidFill>
                <a:srgbClr val="f79646"/>
              </a:solidFill>
              <a:ln>
                <a:noFill/>
              </a:ln>
            </c:spPr>
          </c:dPt>
          <c:dLbls>
            <c:numFmt formatCode="0.0" sourceLinked="1"/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4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5"/>
              <c:dLblPos val="bestFit"/>
              <c:showLegendKey val="0"/>
              <c:showVal val="0"/>
              <c:showCatName val="0"/>
              <c:showSerName val="0"/>
              <c:showPercent val="1"/>
            </c:dLbl>
            <c:dLblPos val="bestFit"/>
            <c:showLegendKey val="0"/>
            <c:showVal val="0"/>
            <c:showCatName val="0"/>
            <c:showSerName val="0"/>
            <c:showPercent val="1"/>
            <c:showLeaderLines val="0"/>
          </c:dLbls>
          <c:cat>
            <c:strRef>
              <c:f>'Biological Process'!$B$36:$B$41</c:f>
              <c:strCache>
                <c:ptCount val="6"/>
                <c:pt idx="0">
                  <c:v>Metabolic process</c:v>
                </c:pt>
                <c:pt idx="1">
                  <c:v>Cellular process</c:v>
                </c:pt>
                <c:pt idx="2">
                  <c:v>Immune system process</c:v>
                </c:pt>
                <c:pt idx="3">
                  <c:v>Response to stimulus</c:v>
                </c:pt>
                <c:pt idx="4">
                  <c:v>Biological regulation</c:v>
                </c:pt>
                <c:pt idx="5">
                  <c:v>Others</c:v>
                </c:pt>
              </c:strCache>
            </c:strRef>
          </c:cat>
          <c:val>
            <c:numRef>
              <c:f>'Biological Process'!$D$36:$D$41</c:f>
              <c:numCache>
                <c:formatCode>General</c:formatCode>
                <c:ptCount val="6"/>
                <c:pt idx="0">
                  <c:v>28.3950617283951</c:v>
                </c:pt>
                <c:pt idx="1">
                  <c:v>20.9876543209877</c:v>
                </c:pt>
                <c:pt idx="2">
                  <c:v>19.7530864197531</c:v>
                </c:pt>
                <c:pt idx="3">
                  <c:v>14.8148148148148</c:v>
                </c:pt>
                <c:pt idx="4">
                  <c:v>6.17283950617284</c:v>
                </c:pt>
                <c:pt idx="5">
                  <c:v>9.87654320987654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legend>
      <c:layout>
        <c:manualLayout>
          <c:xMode val="edge"/>
          <c:yMode val="edge"/>
          <c:x val="0.530028215223097"/>
          <c:y val="0.283512685914261"/>
          <c:w val="0.419878144445427"/>
          <c:h val="0.534710557013707"/>
        </c:manualLayout>
      </c:layout>
      <c:spPr>
        <a:noFill/>
        <a:ln>
          <a:noFill/>
        </a:ln>
      </c:spPr>
      <c:txPr>
        <a:bodyPr/>
        <a:lstStyle/>
        <a:p>
          <a:pPr>
            <a:defRPr b="0" sz="105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Main Pathways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"Main Pathways"</c:f>
              <c:strCache>
                <c:ptCount val="1"/>
                <c:pt idx="0">
                  <c:v>Main Pathways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>
                <a:noFill/>
              </a:ln>
            </c:spPr>
          </c:dPt>
          <c:dPt>
            <c:idx val="1"/>
            <c:spPr>
              <a:solidFill>
                <a:srgbClr val="ab4744"/>
              </a:solidFill>
              <a:ln>
                <a:noFill/>
              </a:ln>
            </c:spPr>
          </c:dPt>
          <c:dPt>
            <c:idx val="2"/>
            <c:spPr>
              <a:solidFill>
                <a:srgbClr val="8aa64f"/>
              </a:solidFill>
              <a:ln>
                <a:noFill/>
              </a:ln>
            </c:spPr>
          </c:dPt>
          <c:dPt>
            <c:idx val="3"/>
            <c:spPr>
              <a:solidFill>
                <a:srgbClr val="725990"/>
              </a:solidFill>
              <a:ln>
                <a:noFill/>
              </a:ln>
            </c:spPr>
          </c:dPt>
          <c:dPt>
            <c:idx val="4"/>
            <c:spPr>
              <a:solidFill>
                <a:srgbClr val="4299b0"/>
              </a:solidFill>
              <a:ln>
                <a:noFill/>
              </a:ln>
            </c:spPr>
          </c:dPt>
          <c:dPt>
            <c:idx val="5"/>
            <c:spPr>
              <a:solidFill>
                <a:srgbClr val="dc853e"/>
              </a:solidFill>
              <a:ln>
                <a:noFill/>
              </a:ln>
            </c:spPr>
          </c:dPt>
          <c:dPt>
            <c:idx val="6"/>
            <c:spPr>
              <a:solidFill>
                <a:srgbClr val="93a9ce"/>
              </a:solidFill>
              <a:ln>
                <a:noFill/>
              </a:ln>
            </c:spPr>
          </c:dPt>
          <c:dLbls>
            <c:numFmt formatCode="0.0" sourceLinked="1"/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4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5"/>
              <c:dLblPos val="bestFit"/>
              <c:showLegendKey val="0"/>
              <c:showVal val="0"/>
              <c:showCatName val="0"/>
              <c:showSerName val="0"/>
              <c:showPercent val="1"/>
            </c:dLbl>
            <c:dLbl>
              <c:idx val="6"/>
              <c:dLblPos val="bestFit"/>
              <c:showLegendKey val="0"/>
              <c:showVal val="0"/>
              <c:showCatName val="0"/>
              <c:showSerName val="0"/>
              <c:showPercent val="1"/>
            </c:dLbl>
            <c:dLblPos val="bestFit"/>
            <c:showLegendKey val="0"/>
            <c:showVal val="0"/>
            <c:showCatName val="0"/>
            <c:showSerName val="0"/>
            <c:showPercent val="1"/>
            <c:showLeaderLines val="0"/>
          </c:dLbls>
          <c:cat>
            <c:strRef>
              <c:f>'REACTOME-EDITED'!$O$66:$O$72</c:f>
              <c:strCache>
                <c:ptCount val="7"/>
                <c:pt idx="0">
                  <c:v>Immune system</c:v>
                </c:pt>
                <c:pt idx="1">
                  <c:v>Hemostasis</c:v>
                </c:pt>
                <c:pt idx="2">
                  <c:v>Metabolism of proteins</c:v>
                </c:pt>
                <c:pt idx="3">
                  <c:v>Signal transduction</c:v>
                </c:pt>
                <c:pt idx="4">
                  <c:v>Vesicle-mediated transport</c:v>
                </c:pt>
                <c:pt idx="5">
                  <c:v>Signal transduction</c:v>
                </c:pt>
                <c:pt idx="6">
                  <c:v>Others</c:v>
                </c:pt>
              </c:strCache>
            </c:strRef>
          </c:cat>
          <c:val>
            <c:numRef>
              <c:f>'REACTOME-EDITED'!$P$66:$P$72</c:f>
              <c:numCache>
                <c:formatCode>General</c:formatCode>
                <c:ptCount val="7"/>
                <c:pt idx="0">
                  <c:v>26.4367816091954</c:v>
                </c:pt>
                <c:pt idx="1">
                  <c:v>24.1379310344828</c:v>
                </c:pt>
                <c:pt idx="2">
                  <c:v>13.7931034482759</c:v>
                </c:pt>
                <c:pt idx="3">
                  <c:v>9.19540229885057</c:v>
                </c:pt>
                <c:pt idx="4">
                  <c:v>6.89655172413793</c:v>
                </c:pt>
                <c:pt idx="5">
                  <c:v>5.74712643678161</c:v>
                </c:pt>
                <c:pt idx="6">
                  <c:v>13.8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legend>
      <c:layout>
        <c:manualLayout>
          <c:xMode val="edge"/>
          <c:yMode val="edge"/>
          <c:x val="0.522902887139108"/>
          <c:y val="0.222368037328667"/>
          <c:w val="0.440986001749781"/>
          <c:h val="0.689407626130067"/>
        </c:manualLayout>
      </c:layout>
      <c:spPr>
        <a:noFill/>
        <a:ln>
          <a:noFill/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295200</xdr:colOff>
      <xdr:row>47</xdr:row>
      <xdr:rowOff>85680</xdr:rowOff>
    </xdr:from>
    <xdr:to>
      <xdr:col>9</xdr:col>
      <xdr:colOff>47160</xdr:colOff>
      <xdr:row>61</xdr:row>
      <xdr:rowOff>161640</xdr:rowOff>
    </xdr:to>
    <xdr:graphicFrame>
      <xdr:nvGraphicFramePr>
        <xdr:cNvPr id="0" name="Gráfico 1"/>
        <xdr:cNvGraphicFramePr/>
      </xdr:nvGraphicFramePr>
      <xdr:xfrm>
        <a:off x="8500320" y="9229680"/>
        <a:ext cx="60170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781200</xdr:colOff>
      <xdr:row>25</xdr:row>
      <xdr:rowOff>142920</xdr:rowOff>
    </xdr:from>
    <xdr:to>
      <xdr:col>14</xdr:col>
      <xdr:colOff>285480</xdr:colOff>
      <xdr:row>40</xdr:row>
      <xdr:rowOff>28440</xdr:rowOff>
    </xdr:to>
    <xdr:graphicFrame>
      <xdr:nvGraphicFramePr>
        <xdr:cNvPr id="1" name="Gráfico 1"/>
        <xdr:cNvGraphicFramePr/>
      </xdr:nvGraphicFramePr>
      <xdr:xfrm>
        <a:off x="10567080" y="5876640"/>
        <a:ext cx="5991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1714680</xdr:colOff>
      <xdr:row>33</xdr:row>
      <xdr:rowOff>28440</xdr:rowOff>
    </xdr:from>
    <xdr:to>
      <xdr:col>6</xdr:col>
      <xdr:colOff>580680</xdr:colOff>
      <xdr:row>46</xdr:row>
      <xdr:rowOff>75600</xdr:rowOff>
    </xdr:to>
    <xdr:graphicFrame>
      <xdr:nvGraphicFramePr>
        <xdr:cNvPr id="2" name="Gráfico 2"/>
        <xdr:cNvGraphicFramePr/>
      </xdr:nvGraphicFramePr>
      <xdr:xfrm>
        <a:off x="2473200" y="7286400"/>
        <a:ext cx="5826240" cy="252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504720</xdr:colOff>
      <xdr:row>75</xdr:row>
      <xdr:rowOff>0</xdr:rowOff>
    </xdr:from>
    <xdr:to>
      <xdr:col>14</xdr:col>
      <xdr:colOff>171000</xdr:colOff>
      <xdr:row>89</xdr:row>
      <xdr:rowOff>75960</xdr:rowOff>
    </xdr:to>
    <xdr:graphicFrame>
      <xdr:nvGraphicFramePr>
        <xdr:cNvPr id="3" name="Gráfico 1"/>
        <xdr:cNvGraphicFramePr/>
      </xdr:nvGraphicFramePr>
      <xdr:xfrm>
        <a:off x="5191560" y="14287320"/>
        <a:ext cx="62078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Z110"/>
  <sheetViews>
    <sheetView showFormulas="false" showGridLines="true" showRowColHeaders="true" showZeros="true" rightToLeft="false" tabSelected="false" showOutlineSymbols="true" defaultGridColor="true" view="normal" topLeftCell="AJ87" colorId="64" zoomScale="100" zoomScaleNormal="100" zoomScalePageLayoutView="100" workbookViewId="0">
      <selection pane="topLeft" activeCell="AQ4" activeCellId="0" sqref="AQ4"/>
    </sheetView>
  </sheetViews>
  <sheetFormatPr defaultRowHeight="15" zeroHeight="false" outlineLevelRow="0" outlineLevelCol="0"/>
  <cols>
    <col collapsed="false" customWidth="true" hidden="false" outlineLevel="0" max="2" min="1" style="0" width="17.28"/>
    <col collapsed="false" customWidth="true" hidden="false" outlineLevel="0" max="5" min="3" style="0" width="16.14"/>
    <col collapsed="false" customWidth="true" hidden="false" outlineLevel="0" max="9" min="6" style="0" width="17.85"/>
    <col collapsed="false" customWidth="true" hidden="false" outlineLevel="0" max="15" min="10" style="0" width="16.71"/>
    <col collapsed="false" customWidth="true" hidden="false" outlineLevel="0" max="20" min="16" style="0" width="16.43"/>
    <col collapsed="false" customWidth="true" hidden="false" outlineLevel="0" max="22" min="21" style="0" width="17.28"/>
    <col collapsed="false" customWidth="true" hidden="false" outlineLevel="0" max="27" min="23" style="0" width="16.14"/>
    <col collapsed="false" customWidth="true" hidden="false" outlineLevel="0" max="28" min="28" style="0" width="21"/>
    <col collapsed="false" customWidth="true" hidden="false" outlineLevel="0" max="29" min="29" style="0" width="8.14"/>
    <col collapsed="false" customWidth="true" hidden="false" outlineLevel="0" max="30" min="30" style="0" width="21"/>
    <col collapsed="false" customWidth="true" hidden="false" outlineLevel="0" max="31" min="31" style="0" width="17.71"/>
    <col collapsed="false" customWidth="true" hidden="false" outlineLevel="0" max="32" min="32" style="0" width="8.85"/>
    <col collapsed="false" customWidth="true" hidden="false" outlineLevel="0" max="33" min="33" style="0" width="22.71"/>
    <col collapsed="false" customWidth="true" hidden="false" outlineLevel="0" max="34" min="34" style="0" width="15.85"/>
    <col collapsed="false" customWidth="true" hidden="false" outlineLevel="0" max="35" min="35" style="0" width="22"/>
    <col collapsed="false" customWidth="true" hidden="false" outlineLevel="0" max="36" min="36" style="0" width="35.43"/>
    <col collapsed="false" customWidth="true" hidden="false" outlineLevel="0" max="37" min="37" style="0" width="28.86"/>
    <col collapsed="false" customWidth="true" hidden="false" outlineLevel="0" max="38" min="38" style="0" width="16.85"/>
    <col collapsed="false" customWidth="true" hidden="false" outlineLevel="0" max="39" min="39" style="0" width="9"/>
    <col collapsed="false" customWidth="true" hidden="false" outlineLevel="0" max="40" min="40" style="0" width="7"/>
    <col collapsed="false" customWidth="true" hidden="false" outlineLevel="0" max="41" min="41" style="0" width="11"/>
    <col collapsed="false" customWidth="true" hidden="false" outlineLevel="0" max="42" min="42" style="0" width="12.71"/>
    <col collapsed="false" customWidth="true" hidden="false" outlineLevel="0" max="43" min="43" style="0" width="14.71"/>
    <col collapsed="false" customWidth="true" hidden="false" outlineLevel="0" max="44" min="44" style="0" width="15"/>
    <col collapsed="false" customWidth="true" hidden="false" outlineLevel="0" max="47" min="45" style="0" width="81.14"/>
    <col collapsed="false" customWidth="true" hidden="false" outlineLevel="0" max="48" min="48" style="0" width="44.57"/>
    <col collapsed="false" customWidth="true" hidden="false" outlineLevel="0" max="49" min="49" style="0" width="81.14"/>
    <col collapsed="false" customWidth="true" hidden="false" outlineLevel="0" max="50" min="50" style="0" width="30.42"/>
    <col collapsed="false" customWidth="true" hidden="false" outlineLevel="0" max="51" min="51" style="0" width="47"/>
    <col collapsed="false" customWidth="true" hidden="false" outlineLevel="0" max="52" min="52" style="0" width="4"/>
    <col collapsed="false" customWidth="true" hidden="false" outlineLevel="0" max="1025" min="53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 customFormat="false" ht="15" hidden="false" customHeight="false" outlineLevel="0" collapsed="false">
      <c r="A2" s="0" t="s">
        <v>52</v>
      </c>
      <c r="B2" s="0" t="s">
        <v>53</v>
      </c>
      <c r="C2" s="0" t="s">
        <v>53</v>
      </c>
      <c r="D2" s="0" t="s">
        <v>53</v>
      </c>
      <c r="E2" s="0" t="s">
        <v>53</v>
      </c>
      <c r="F2" s="0" t="s">
        <v>53</v>
      </c>
      <c r="G2" s="0" t="s">
        <v>53</v>
      </c>
      <c r="H2" s="0" t="s">
        <v>53</v>
      </c>
      <c r="I2" s="0" t="s">
        <v>53</v>
      </c>
      <c r="J2" s="0" t="s">
        <v>53</v>
      </c>
      <c r="K2" s="0" t="s">
        <v>53</v>
      </c>
      <c r="L2" s="0" t="s">
        <v>53</v>
      </c>
      <c r="M2" s="0" t="s">
        <v>53</v>
      </c>
      <c r="N2" s="0" t="s">
        <v>53</v>
      </c>
      <c r="O2" s="0" t="s">
        <v>53</v>
      </c>
      <c r="P2" s="0" t="s">
        <v>53</v>
      </c>
      <c r="Q2" s="0" t="s">
        <v>53</v>
      </c>
      <c r="R2" s="0" t="s">
        <v>53</v>
      </c>
      <c r="S2" s="0" t="s">
        <v>53</v>
      </c>
      <c r="T2" s="0" t="s">
        <v>53</v>
      </c>
      <c r="U2" s="0" t="s">
        <v>53</v>
      </c>
      <c r="V2" s="0" t="s">
        <v>53</v>
      </c>
      <c r="W2" s="0" t="s">
        <v>53</v>
      </c>
      <c r="X2" s="0" t="s">
        <v>53</v>
      </c>
      <c r="Y2" s="0" t="s">
        <v>53</v>
      </c>
      <c r="Z2" s="0" t="s">
        <v>53</v>
      </c>
      <c r="AA2" s="0" t="s">
        <v>53</v>
      </c>
      <c r="AB2" s="0" t="s">
        <v>54</v>
      </c>
      <c r="AC2" s="0" t="s">
        <v>54</v>
      </c>
      <c r="AD2" s="0" t="s">
        <v>54</v>
      </c>
      <c r="AE2" s="0" t="s">
        <v>54</v>
      </c>
      <c r="AF2" s="0" t="s">
        <v>55</v>
      </c>
      <c r="AG2" s="0" t="s">
        <v>55</v>
      </c>
      <c r="AH2" s="0" t="s">
        <v>55</v>
      </c>
      <c r="AI2" s="0" t="s">
        <v>55</v>
      </c>
      <c r="AJ2" s="0" t="s">
        <v>55</v>
      </c>
      <c r="AK2" s="0" t="s">
        <v>55</v>
      </c>
      <c r="AL2" s="0" t="s">
        <v>55</v>
      </c>
      <c r="AM2" s="0" t="s">
        <v>55</v>
      </c>
      <c r="AN2" s="0" t="s">
        <v>55</v>
      </c>
      <c r="AO2" s="0" t="s">
        <v>55</v>
      </c>
      <c r="AP2" s="0" t="s">
        <v>55</v>
      </c>
      <c r="AQ2" s="0" t="s">
        <v>55</v>
      </c>
      <c r="AR2" s="0" t="s">
        <v>55</v>
      </c>
      <c r="AS2" s="0" t="s">
        <v>56</v>
      </c>
      <c r="AT2" s="0" t="s">
        <v>56</v>
      </c>
      <c r="AU2" s="0" t="s">
        <v>56</v>
      </c>
      <c r="AV2" s="0" t="s">
        <v>56</v>
      </c>
      <c r="AW2" s="0" t="s">
        <v>56</v>
      </c>
      <c r="AX2" s="0" t="s">
        <v>56</v>
      </c>
      <c r="AY2" s="0" t="s">
        <v>56</v>
      </c>
      <c r="AZ2" s="0" t="s">
        <v>56</v>
      </c>
    </row>
    <row r="3" customFormat="false" ht="15" hidden="false" customHeight="false" outlineLevel="0" collapsed="false">
      <c r="A3" s="0" t="s">
        <v>57</v>
      </c>
      <c r="B3" s="0" t="s">
        <v>58</v>
      </c>
      <c r="C3" s="0" t="s">
        <v>58</v>
      </c>
      <c r="D3" s="0" t="s">
        <v>58</v>
      </c>
      <c r="E3" s="0" t="s">
        <v>58</v>
      </c>
      <c r="F3" s="0" t="s">
        <v>58</v>
      </c>
      <c r="G3" s="0" t="s">
        <v>58</v>
      </c>
      <c r="H3" s="0" t="s">
        <v>59</v>
      </c>
      <c r="I3" s="0" t="s">
        <v>59</v>
      </c>
      <c r="J3" s="0" t="s">
        <v>59</v>
      </c>
      <c r="K3" s="0" t="s">
        <v>59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  <c r="Q3" s="0" t="s">
        <v>59</v>
      </c>
      <c r="R3" s="0" t="s">
        <v>59</v>
      </c>
      <c r="S3" s="0" t="s">
        <v>59</v>
      </c>
      <c r="T3" s="0" t="s">
        <v>59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</row>
    <row r="4" customFormat="false" ht="15" hidden="false" customHeight="false" outlineLevel="0" collapsed="false">
      <c r="A4" s="0" t="n">
        <v>15.87918</v>
      </c>
      <c r="B4" s="0" t="n">
        <v>15.4086</v>
      </c>
      <c r="C4" s="0" t="n">
        <v>16.27893</v>
      </c>
      <c r="D4" s="0" t="n">
        <v>15.45346</v>
      </c>
      <c r="E4" s="0" t="n">
        <v>15.85138</v>
      </c>
      <c r="F4" s="0" t="n">
        <v>15.83197</v>
      </c>
      <c r="G4" s="0" t="n">
        <v>15.24526</v>
      </c>
      <c r="H4" s="0" t="n">
        <v>16.54622</v>
      </c>
      <c r="I4" s="0" t="n">
        <v>15.59794</v>
      </c>
      <c r="J4" s="0" t="n">
        <v>13.12144</v>
      </c>
      <c r="K4" s="0" t="n">
        <v>17.88687</v>
      </c>
      <c r="L4" s="0" t="n">
        <v>14.31111</v>
      </c>
      <c r="M4" s="0" t="n">
        <v>16.49953</v>
      </c>
      <c r="N4" s="0" t="n">
        <v>16.02763</v>
      </c>
      <c r="O4" s="0" t="n">
        <v>14.4586</v>
      </c>
      <c r="P4" s="0" t="n">
        <v>15.88283</v>
      </c>
      <c r="Q4" s="0" t="n">
        <v>16.35234</v>
      </c>
      <c r="R4" s="0" t="n">
        <v>16.59693</v>
      </c>
      <c r="S4" s="0" t="n">
        <v>15.99327</v>
      </c>
      <c r="T4" s="0" t="n">
        <v>15.82848</v>
      </c>
      <c r="U4" s="0" t="n">
        <v>17.33995</v>
      </c>
      <c r="V4" s="0" t="n">
        <v>16.45958</v>
      </c>
      <c r="W4" s="0" t="n">
        <v>15.57439</v>
      </c>
      <c r="X4" s="0" t="n">
        <v>15.49217</v>
      </c>
      <c r="Y4" s="0" t="n">
        <v>16.91064</v>
      </c>
      <c r="Z4" s="0" t="n">
        <v>15.31409</v>
      </c>
      <c r="AA4" s="0" t="n">
        <v>16.78251</v>
      </c>
      <c r="AF4" s="0" t="n">
        <v>3</v>
      </c>
      <c r="AG4" s="0" t="n">
        <v>3</v>
      </c>
      <c r="AH4" s="0" t="n">
        <v>3</v>
      </c>
      <c r="AI4" s="0" t="n">
        <v>7.3</v>
      </c>
      <c r="AJ4" s="0" t="n">
        <v>7.3</v>
      </c>
      <c r="AK4" s="0" t="n">
        <v>7.3</v>
      </c>
      <c r="AL4" s="0" t="n">
        <v>75.077</v>
      </c>
      <c r="AM4" s="0" t="n">
        <v>0</v>
      </c>
      <c r="AN4" s="0" t="n">
        <v>6.6453</v>
      </c>
      <c r="AO4" s="0" t="n">
        <v>2431500</v>
      </c>
      <c r="AP4" s="0" t="n">
        <v>14</v>
      </c>
      <c r="AQ4" s="0" t="n">
        <v>0.638942302299322</v>
      </c>
      <c r="AR4" s="0" t="n">
        <v>0.907076923076923</v>
      </c>
      <c r="AS4" s="0" t="s">
        <v>61</v>
      </c>
      <c r="AT4" s="0" t="s">
        <v>62</v>
      </c>
      <c r="AU4" s="0" t="s">
        <v>63</v>
      </c>
      <c r="AV4" s="0" t="s">
        <v>64</v>
      </c>
      <c r="AW4" s="0" t="s">
        <v>65</v>
      </c>
      <c r="AZ4" s="0" t="n">
        <v>6</v>
      </c>
    </row>
    <row r="5" customFormat="false" ht="15" hidden="false" customHeight="false" outlineLevel="0" collapsed="false">
      <c r="A5" s="0" t="n">
        <v>22.60987</v>
      </c>
      <c r="B5" s="0" t="n">
        <v>19.68212</v>
      </c>
      <c r="C5" s="0" t="n">
        <v>22.04283</v>
      </c>
      <c r="D5" s="0" t="n">
        <v>20.24342</v>
      </c>
      <c r="E5" s="0" t="n">
        <v>19.26611</v>
      </c>
      <c r="F5" s="0" t="n">
        <v>20.97463</v>
      </c>
      <c r="G5" s="0" t="n">
        <v>22.02608</v>
      </c>
      <c r="H5" s="0" t="n">
        <v>21.01161</v>
      </c>
      <c r="I5" s="0" t="n">
        <v>20.72949</v>
      </c>
      <c r="J5" s="0" t="n">
        <v>21.95358</v>
      </c>
      <c r="K5" s="0" t="n">
        <v>22.06835</v>
      </c>
      <c r="L5" s="0" t="n">
        <v>22.63533</v>
      </c>
      <c r="M5" s="0" t="n">
        <v>20.03658</v>
      </c>
      <c r="N5" s="0" t="n">
        <v>20.23806</v>
      </c>
      <c r="O5" s="0" t="n">
        <v>22.39338</v>
      </c>
      <c r="P5" s="0" t="n">
        <v>21.37523</v>
      </c>
      <c r="Q5" s="0" t="n">
        <v>20.78556</v>
      </c>
      <c r="R5" s="0" t="n">
        <v>19.66939</v>
      </c>
      <c r="S5" s="0" t="n">
        <v>20.54123</v>
      </c>
      <c r="T5" s="0" t="n">
        <v>20.61711</v>
      </c>
      <c r="U5" s="0" t="n">
        <v>20.76093</v>
      </c>
      <c r="V5" s="0" t="n">
        <v>22.65611</v>
      </c>
      <c r="W5" s="0" t="n">
        <v>19.59396</v>
      </c>
      <c r="X5" s="0" t="n">
        <v>19.9851</v>
      </c>
      <c r="Y5" s="0" t="n">
        <v>21.16987</v>
      </c>
      <c r="Z5" s="0" t="n">
        <v>20.99079</v>
      </c>
      <c r="AA5" s="0" t="n">
        <v>20.2876</v>
      </c>
      <c r="AF5" s="0" t="n">
        <v>18</v>
      </c>
      <c r="AG5" s="0" t="n">
        <v>18</v>
      </c>
      <c r="AH5" s="0" t="n">
        <v>18</v>
      </c>
      <c r="AI5" s="0" t="n">
        <v>50.2</v>
      </c>
      <c r="AJ5" s="0" t="n">
        <v>50.2</v>
      </c>
      <c r="AK5" s="0" t="n">
        <v>50.2</v>
      </c>
      <c r="AL5" s="0" t="n">
        <v>49.382</v>
      </c>
      <c r="AM5" s="0" t="n">
        <v>0</v>
      </c>
      <c r="AN5" s="0" t="n">
        <v>323.31</v>
      </c>
      <c r="AO5" s="0" t="n">
        <v>120760000</v>
      </c>
      <c r="AP5" s="0" t="n">
        <v>259</v>
      </c>
      <c r="AQ5" s="0" t="n">
        <v>0.913428632487206</v>
      </c>
      <c r="AR5" s="0" t="n">
        <v>0.964862745098039</v>
      </c>
      <c r="AS5" s="0" t="s">
        <v>66</v>
      </c>
      <c r="AT5" s="0" t="s">
        <v>66</v>
      </c>
      <c r="AU5" s="0" t="s">
        <v>67</v>
      </c>
      <c r="AV5" s="0" t="s">
        <v>68</v>
      </c>
      <c r="AW5" s="0" t="s">
        <v>69</v>
      </c>
      <c r="AX5" s="0" t="s">
        <v>70</v>
      </c>
      <c r="AY5" s="0" t="s">
        <v>71</v>
      </c>
      <c r="AZ5" s="0" t="n">
        <v>8</v>
      </c>
    </row>
    <row r="6" customFormat="false" ht="15" hidden="false" customHeight="false" outlineLevel="0" collapsed="false">
      <c r="A6" s="0" t="n">
        <v>15.77471</v>
      </c>
      <c r="B6" s="0" t="n">
        <v>14.68699</v>
      </c>
      <c r="C6" s="0" t="n">
        <v>15.43785</v>
      </c>
      <c r="D6" s="0" t="n">
        <v>14.89562</v>
      </c>
      <c r="E6" s="0" t="n">
        <v>15.32892</v>
      </c>
      <c r="F6" s="0" t="n">
        <v>15.54104</v>
      </c>
      <c r="G6" s="0" t="n">
        <v>15.24659</v>
      </c>
      <c r="H6" s="0" t="n">
        <v>15.5487</v>
      </c>
      <c r="I6" s="0" t="n">
        <v>16.31916</v>
      </c>
      <c r="J6" s="0" t="n">
        <v>15.79454</v>
      </c>
      <c r="K6" s="0" t="n">
        <v>17.39801</v>
      </c>
      <c r="L6" s="0" t="n">
        <v>15.08771</v>
      </c>
      <c r="M6" s="0" t="n">
        <v>14.73524</v>
      </c>
      <c r="N6" s="0" t="n">
        <v>17.84733</v>
      </c>
      <c r="O6" s="0" t="n">
        <v>15.50696</v>
      </c>
      <c r="P6" s="0" t="n">
        <v>15.46001</v>
      </c>
      <c r="Q6" s="0" t="n">
        <v>15.38435</v>
      </c>
      <c r="R6" s="0" t="n">
        <v>15.73349</v>
      </c>
      <c r="S6" s="0" t="n">
        <v>15.60073</v>
      </c>
      <c r="T6" s="0" t="n">
        <v>15.82215</v>
      </c>
      <c r="U6" s="0" t="n">
        <v>15.03381</v>
      </c>
      <c r="V6" s="0" t="n">
        <v>15.58317</v>
      </c>
      <c r="W6" s="0" t="n">
        <v>15.3093</v>
      </c>
      <c r="X6" s="0" t="n">
        <v>14.44657</v>
      </c>
      <c r="Y6" s="0" t="n">
        <v>13.99418</v>
      </c>
      <c r="Z6" s="0" t="n">
        <v>15.28435</v>
      </c>
      <c r="AA6" s="0" t="n">
        <v>14.44443</v>
      </c>
      <c r="AF6" s="0" t="n">
        <v>3</v>
      </c>
      <c r="AG6" s="0" t="n">
        <v>3</v>
      </c>
      <c r="AH6" s="0" t="n">
        <v>3</v>
      </c>
      <c r="AI6" s="0" t="n">
        <v>12.9</v>
      </c>
      <c r="AJ6" s="0" t="n">
        <v>12.9</v>
      </c>
      <c r="AK6" s="0" t="n">
        <v>12.9</v>
      </c>
      <c r="AL6" s="0" t="n">
        <v>25.402</v>
      </c>
      <c r="AM6" s="0" t="n">
        <v>0</v>
      </c>
      <c r="AN6" s="0" t="n">
        <v>4.467</v>
      </c>
      <c r="AO6" s="0" t="n">
        <v>1616500</v>
      </c>
      <c r="AP6" s="0" t="n">
        <v>16</v>
      </c>
      <c r="AQ6" s="0" t="n">
        <v>0.0354764389316172</v>
      </c>
      <c r="AR6" s="0" t="n">
        <v>0.480888888888889</v>
      </c>
      <c r="AS6" s="0" t="s">
        <v>72</v>
      </c>
      <c r="AT6" s="0" t="s">
        <v>72</v>
      </c>
      <c r="AU6" s="0" t="s">
        <v>73</v>
      </c>
      <c r="AV6" s="0" t="s">
        <v>74</v>
      </c>
      <c r="AW6" s="0" t="s">
        <v>65</v>
      </c>
      <c r="AZ6" s="0" t="n">
        <v>9</v>
      </c>
    </row>
    <row r="7" customFormat="false" ht="15" hidden="false" customHeight="false" outlineLevel="0" collapsed="false">
      <c r="A7" s="0" t="n">
        <v>15.5548</v>
      </c>
      <c r="B7" s="0" t="n">
        <v>15.12602</v>
      </c>
      <c r="C7" s="0" t="n">
        <v>16.27262</v>
      </c>
      <c r="D7" s="0" t="n">
        <v>16.4766</v>
      </c>
      <c r="E7" s="0" t="n">
        <v>16.21443</v>
      </c>
      <c r="F7" s="0" t="n">
        <v>16.25158</v>
      </c>
      <c r="G7" s="0" t="n">
        <v>16.17707</v>
      </c>
      <c r="H7" s="0" t="n">
        <v>17.11319</v>
      </c>
      <c r="I7" s="0" t="n">
        <v>16.12671</v>
      </c>
      <c r="J7" s="0" t="n">
        <v>15.10636</v>
      </c>
      <c r="K7" s="0" t="n">
        <v>16.34158</v>
      </c>
      <c r="L7" s="0" t="n">
        <v>16.94215</v>
      </c>
      <c r="M7" s="0" t="n">
        <v>16.73978</v>
      </c>
      <c r="N7" s="0" t="n">
        <v>14.11287</v>
      </c>
      <c r="O7" s="0" t="n">
        <v>17.89196</v>
      </c>
      <c r="P7" s="0" t="n">
        <v>17.37356</v>
      </c>
      <c r="Q7" s="0" t="n">
        <v>16.86568</v>
      </c>
      <c r="R7" s="0" t="n">
        <v>16.61554</v>
      </c>
      <c r="S7" s="0" t="n">
        <v>15.90134</v>
      </c>
      <c r="T7" s="0" t="n">
        <v>16.18152</v>
      </c>
      <c r="U7" s="0" t="n">
        <v>17.09455</v>
      </c>
      <c r="V7" s="0" t="n">
        <v>16.94478</v>
      </c>
      <c r="W7" s="0" t="n">
        <v>17.01214</v>
      </c>
      <c r="X7" s="0" t="n">
        <v>16.7761</v>
      </c>
      <c r="Y7" s="0" t="n">
        <v>16.54498</v>
      </c>
      <c r="Z7" s="0" t="n">
        <v>15.76464</v>
      </c>
      <c r="AA7" s="0" t="n">
        <v>17.46826</v>
      </c>
      <c r="AF7" s="0" t="n">
        <v>3</v>
      </c>
      <c r="AG7" s="0" t="n">
        <v>3</v>
      </c>
      <c r="AH7" s="0" t="n">
        <v>3</v>
      </c>
      <c r="AI7" s="0" t="n">
        <v>16.8</v>
      </c>
      <c r="AJ7" s="0" t="n">
        <v>16.8</v>
      </c>
      <c r="AK7" s="0" t="n">
        <v>16.8</v>
      </c>
      <c r="AL7" s="0" t="n">
        <v>23.353</v>
      </c>
      <c r="AM7" s="0" t="n">
        <v>0</v>
      </c>
      <c r="AN7" s="0" t="n">
        <v>103.75</v>
      </c>
      <c r="AO7" s="0" t="n">
        <v>4696900</v>
      </c>
      <c r="AP7" s="0" t="n">
        <v>15</v>
      </c>
      <c r="AQ7" s="0" t="n">
        <v>0.308089427501065</v>
      </c>
      <c r="AR7" s="0" t="n">
        <v>0.856585365853659</v>
      </c>
      <c r="AS7" s="0" t="s">
        <v>75</v>
      </c>
      <c r="AT7" s="0" t="s">
        <v>75</v>
      </c>
      <c r="AU7" s="0" t="s">
        <v>76</v>
      </c>
      <c r="AV7" s="0" t="s">
        <v>77</v>
      </c>
      <c r="AW7" s="0" t="s">
        <v>65</v>
      </c>
      <c r="AX7" s="0" t="s">
        <v>78</v>
      </c>
      <c r="AY7" s="0" t="s">
        <v>79</v>
      </c>
      <c r="AZ7" s="0" t="n">
        <v>10</v>
      </c>
    </row>
    <row r="8" customFormat="false" ht="15" hidden="false" customHeight="false" outlineLevel="0" collapsed="false">
      <c r="A8" s="0" t="n">
        <v>17.31761</v>
      </c>
      <c r="B8" s="0" t="n">
        <v>15.84736</v>
      </c>
      <c r="C8" s="0" t="n">
        <v>15.84215</v>
      </c>
      <c r="D8" s="0" t="n">
        <v>17.23248</v>
      </c>
      <c r="E8" s="0" t="n">
        <v>17.40541</v>
      </c>
      <c r="F8" s="0" t="n">
        <v>17.0525</v>
      </c>
      <c r="G8" s="0" t="n">
        <v>14.01111</v>
      </c>
      <c r="H8" s="0" t="n">
        <v>16.77069</v>
      </c>
      <c r="I8" s="0" t="n">
        <v>17.20581</v>
      </c>
      <c r="J8" s="0" t="n">
        <v>18.24307</v>
      </c>
      <c r="K8" s="0" t="n">
        <v>17.36481</v>
      </c>
      <c r="L8" s="0" t="n">
        <v>17.51198</v>
      </c>
      <c r="M8" s="0" t="n">
        <v>16.19737</v>
      </c>
      <c r="N8" s="0" t="n">
        <v>16.02228</v>
      </c>
      <c r="O8" s="0" t="n">
        <v>17.37008</v>
      </c>
      <c r="P8" s="0" t="n">
        <v>16.48129</v>
      </c>
      <c r="Q8" s="0" t="n">
        <v>15.21999</v>
      </c>
      <c r="R8" s="0" t="n">
        <v>12.82417</v>
      </c>
      <c r="S8" s="0" t="n">
        <v>13.82869</v>
      </c>
      <c r="T8" s="0" t="n">
        <v>17.32052</v>
      </c>
      <c r="U8" s="0" t="n">
        <v>16.57911</v>
      </c>
      <c r="V8" s="0" t="n">
        <v>16.81328</v>
      </c>
      <c r="W8" s="0" t="n">
        <v>13.9518</v>
      </c>
      <c r="X8" s="0" t="n">
        <v>14.4807</v>
      </c>
      <c r="Y8" s="0" t="n">
        <v>16.74491</v>
      </c>
      <c r="Z8" s="0" t="n">
        <v>17.5974</v>
      </c>
      <c r="AA8" s="0" t="n">
        <v>16.54329</v>
      </c>
      <c r="AF8" s="0" t="n">
        <v>2</v>
      </c>
      <c r="AG8" s="0" t="n">
        <v>2</v>
      </c>
      <c r="AH8" s="0" t="n">
        <v>2</v>
      </c>
      <c r="AI8" s="0" t="n">
        <v>12.7</v>
      </c>
      <c r="AJ8" s="0" t="n">
        <v>12.7</v>
      </c>
      <c r="AK8" s="0" t="n">
        <v>12.7</v>
      </c>
      <c r="AL8" s="0" t="n">
        <v>24.03</v>
      </c>
      <c r="AM8" s="0" t="n">
        <v>0</v>
      </c>
      <c r="AN8" s="0" t="n">
        <v>26.63</v>
      </c>
      <c r="AO8" s="0" t="n">
        <v>4832500</v>
      </c>
      <c r="AP8" s="0" t="n">
        <v>18</v>
      </c>
      <c r="AQ8" s="0" t="n">
        <v>0.889441083099604</v>
      </c>
      <c r="AR8" s="0" t="n">
        <v>0.990350515463918</v>
      </c>
      <c r="AS8" s="0" t="s">
        <v>80</v>
      </c>
      <c r="AT8" s="0" t="s">
        <v>80</v>
      </c>
      <c r="AU8" s="0" t="s">
        <v>81</v>
      </c>
      <c r="AV8" s="0" t="s">
        <v>82</v>
      </c>
      <c r="AW8" s="0" t="s">
        <v>83</v>
      </c>
      <c r="AZ8" s="0" t="n">
        <v>14</v>
      </c>
    </row>
    <row r="9" customFormat="false" ht="15" hidden="false" customHeight="false" outlineLevel="0" collapsed="false">
      <c r="A9" s="0" t="n">
        <v>19.39253</v>
      </c>
      <c r="B9" s="0" t="n">
        <v>19.47756</v>
      </c>
      <c r="C9" s="0" t="n">
        <v>19.93905</v>
      </c>
      <c r="D9" s="0" t="n">
        <v>18.32219</v>
      </c>
      <c r="E9" s="0" t="n">
        <v>19.63738</v>
      </c>
      <c r="F9" s="0" t="n">
        <v>20.60359</v>
      </c>
      <c r="G9" s="0" t="n">
        <v>20.95971</v>
      </c>
      <c r="H9" s="0" t="n">
        <v>19.07648</v>
      </c>
      <c r="I9" s="0" t="n">
        <v>19.18473</v>
      </c>
      <c r="J9" s="0" t="n">
        <v>21.40899</v>
      </c>
      <c r="K9" s="0" t="n">
        <v>17.42318</v>
      </c>
      <c r="L9" s="0" t="n">
        <v>22.45513</v>
      </c>
      <c r="M9" s="0" t="n">
        <v>18.95109</v>
      </c>
      <c r="N9" s="0" t="n">
        <v>20.83507</v>
      </c>
      <c r="O9" s="0" t="n">
        <v>23.04693</v>
      </c>
      <c r="P9" s="0" t="n">
        <v>20.28229</v>
      </c>
      <c r="Q9" s="0" t="n">
        <v>19.67235</v>
      </c>
      <c r="R9" s="0" t="n">
        <v>19.30952</v>
      </c>
      <c r="S9" s="0" t="n">
        <v>19.21122</v>
      </c>
      <c r="T9" s="0" t="n">
        <v>20.68782</v>
      </c>
      <c r="U9" s="0" t="n">
        <v>20.08135</v>
      </c>
      <c r="V9" s="0" t="n">
        <v>18.80707</v>
      </c>
      <c r="W9" s="0" t="n">
        <v>18.76791</v>
      </c>
      <c r="X9" s="0" t="n">
        <v>19.72745</v>
      </c>
      <c r="Y9" s="0" t="n">
        <v>19.00985</v>
      </c>
      <c r="Z9" s="0" t="n">
        <v>20.90124</v>
      </c>
      <c r="AA9" s="0" t="n">
        <v>19.30394</v>
      </c>
      <c r="AF9" s="0" t="n">
        <v>5</v>
      </c>
      <c r="AG9" s="0" t="n">
        <v>5</v>
      </c>
      <c r="AH9" s="0" t="n">
        <v>2</v>
      </c>
      <c r="AI9" s="0" t="n">
        <v>35.8</v>
      </c>
      <c r="AJ9" s="0" t="n">
        <v>35.8</v>
      </c>
      <c r="AK9" s="0" t="n">
        <v>12.6</v>
      </c>
      <c r="AL9" s="0" t="n">
        <v>23.15</v>
      </c>
      <c r="AM9" s="0" t="n">
        <v>0</v>
      </c>
      <c r="AN9" s="0" t="n">
        <v>33.382</v>
      </c>
      <c r="AO9" s="0" t="n">
        <v>63911000</v>
      </c>
      <c r="AP9" s="0" t="n">
        <v>51</v>
      </c>
      <c r="AQ9" s="0" t="n">
        <v>0.633753984976339</v>
      </c>
      <c r="AR9" s="0" t="n">
        <v>0.911480519480519</v>
      </c>
      <c r="AS9" s="0" t="s">
        <v>84</v>
      </c>
      <c r="AT9" s="0" t="s">
        <v>84</v>
      </c>
      <c r="AU9" s="0" t="s">
        <v>85</v>
      </c>
      <c r="AV9" s="0" t="s">
        <v>86</v>
      </c>
      <c r="AW9" s="0" t="s">
        <v>87</v>
      </c>
      <c r="AZ9" s="0" t="n">
        <v>15</v>
      </c>
    </row>
    <row r="10" customFormat="false" ht="15" hidden="false" customHeight="false" outlineLevel="0" collapsed="false">
      <c r="A10" s="0" t="n">
        <v>20.33254</v>
      </c>
      <c r="B10" s="0" t="n">
        <v>18.8343</v>
      </c>
      <c r="C10" s="0" t="n">
        <v>16.56875</v>
      </c>
      <c r="D10" s="0" t="n">
        <v>19.33551</v>
      </c>
      <c r="E10" s="0" t="n">
        <v>19.81093</v>
      </c>
      <c r="F10" s="0" t="n">
        <v>21.65574</v>
      </c>
      <c r="G10" s="0" t="n">
        <v>18.43555</v>
      </c>
      <c r="H10" s="0" t="n">
        <v>20.01291</v>
      </c>
      <c r="I10" s="0" t="n">
        <v>20.10342</v>
      </c>
      <c r="J10" s="0" t="n">
        <v>20.2841</v>
      </c>
      <c r="K10" s="0" t="n">
        <v>19.41092</v>
      </c>
      <c r="L10" s="0" t="n">
        <v>18.31208</v>
      </c>
      <c r="M10" s="0" t="n">
        <v>20.09803</v>
      </c>
      <c r="N10" s="0" t="n">
        <v>15.54485</v>
      </c>
      <c r="O10" s="0" t="n">
        <v>17.91351</v>
      </c>
      <c r="P10" s="0" t="n">
        <v>19.76463</v>
      </c>
      <c r="Q10" s="0" t="n">
        <v>20.10213</v>
      </c>
      <c r="R10" s="0" t="n">
        <v>19.93416</v>
      </c>
      <c r="S10" s="0" t="n">
        <v>19.16401</v>
      </c>
      <c r="T10" s="0" t="n">
        <v>20.05907</v>
      </c>
      <c r="U10" s="0" t="n">
        <v>19.82999</v>
      </c>
      <c r="V10" s="0" t="n">
        <v>20.30986</v>
      </c>
      <c r="W10" s="0" t="n">
        <v>19.01029</v>
      </c>
      <c r="X10" s="0" t="n">
        <v>19.08809</v>
      </c>
      <c r="Y10" s="0" t="n">
        <v>19.89269</v>
      </c>
      <c r="Z10" s="0" t="n">
        <v>20.0592</v>
      </c>
      <c r="AA10" s="0" t="n">
        <v>19.08044</v>
      </c>
      <c r="AF10" s="0" t="n">
        <v>2</v>
      </c>
      <c r="AG10" s="0" t="n">
        <v>1</v>
      </c>
      <c r="AH10" s="0" t="n">
        <v>1</v>
      </c>
      <c r="AI10" s="0" t="n">
        <v>31.2</v>
      </c>
      <c r="AJ10" s="0" t="n">
        <v>19.8</v>
      </c>
      <c r="AK10" s="0" t="n">
        <v>19.8</v>
      </c>
      <c r="AL10" s="0" t="n">
        <v>10.429</v>
      </c>
      <c r="AM10" s="0" t="n">
        <v>0</v>
      </c>
      <c r="AN10" s="0" t="n">
        <v>53.888</v>
      </c>
      <c r="AO10" s="0" t="n">
        <v>31967000</v>
      </c>
      <c r="AP10" s="0" t="n">
        <v>76</v>
      </c>
      <c r="AQ10" s="0" t="n">
        <v>0.790175514478669</v>
      </c>
      <c r="AR10" s="0" t="n">
        <v>0.92847311827957</v>
      </c>
      <c r="AS10" s="0" t="s">
        <v>88</v>
      </c>
      <c r="AT10" s="0" t="s">
        <v>88</v>
      </c>
      <c r="AU10" s="0" t="s">
        <v>89</v>
      </c>
      <c r="AV10" s="0" t="s">
        <v>90</v>
      </c>
      <c r="AW10" s="0" t="s">
        <v>91</v>
      </c>
      <c r="AZ10" s="0" t="n">
        <v>16</v>
      </c>
    </row>
    <row r="11" customFormat="false" ht="15" hidden="false" customHeight="false" outlineLevel="0" collapsed="false">
      <c r="A11" s="0" t="n">
        <v>15.51511</v>
      </c>
      <c r="B11" s="0" t="n">
        <v>14.93171</v>
      </c>
      <c r="C11" s="0" t="n">
        <v>16.71923</v>
      </c>
      <c r="D11" s="0" t="n">
        <v>14.56277</v>
      </c>
      <c r="E11" s="0" t="n">
        <v>15.16034</v>
      </c>
      <c r="F11" s="0" t="n">
        <v>13.63901</v>
      </c>
      <c r="G11" s="0" t="n">
        <v>14.82481</v>
      </c>
      <c r="H11" s="0" t="n">
        <v>14.72946</v>
      </c>
      <c r="I11" s="0" t="n">
        <v>15.09931</v>
      </c>
      <c r="J11" s="0" t="n">
        <v>14.61442</v>
      </c>
      <c r="K11" s="0" t="n">
        <v>17.53566</v>
      </c>
      <c r="L11" s="0" t="n">
        <v>14.59205</v>
      </c>
      <c r="M11" s="0" t="n">
        <v>15.33811</v>
      </c>
      <c r="N11" s="0" t="n">
        <v>14.1145</v>
      </c>
      <c r="O11" s="0" t="n">
        <v>14.36994</v>
      </c>
      <c r="P11" s="0" t="n">
        <v>15.45478</v>
      </c>
      <c r="Q11" s="0" t="n">
        <v>14.94618</v>
      </c>
      <c r="R11" s="0" t="n">
        <v>14.80937</v>
      </c>
      <c r="S11" s="0" t="n">
        <v>14.878</v>
      </c>
      <c r="T11" s="0" t="n">
        <v>14.97777</v>
      </c>
      <c r="U11" s="0" t="n">
        <v>14.90176</v>
      </c>
      <c r="V11" s="0" t="n">
        <v>14.0985</v>
      </c>
      <c r="W11" s="0" t="n">
        <v>15.41029</v>
      </c>
      <c r="X11" s="0" t="n">
        <v>14.92528</v>
      </c>
      <c r="Y11" s="0" t="n">
        <v>15.01398</v>
      </c>
      <c r="Z11" s="0" t="n">
        <v>16.16383</v>
      </c>
      <c r="AA11" s="0" t="n">
        <v>14.99103</v>
      </c>
      <c r="AF11" s="0" t="n">
        <v>2</v>
      </c>
      <c r="AG11" s="0" t="n">
        <v>2</v>
      </c>
      <c r="AH11" s="0" t="n">
        <v>2</v>
      </c>
      <c r="AI11" s="0" t="n">
        <v>26.5</v>
      </c>
      <c r="AJ11" s="0" t="n">
        <v>26.5</v>
      </c>
      <c r="AK11" s="0" t="n">
        <v>26.5</v>
      </c>
      <c r="AL11" s="0" t="n">
        <v>12.674</v>
      </c>
      <c r="AM11" s="0" t="n">
        <v>0</v>
      </c>
      <c r="AN11" s="0" t="n">
        <v>1.4462</v>
      </c>
      <c r="AO11" s="0" t="n">
        <v>1083300</v>
      </c>
      <c r="AP11" s="0" t="n">
        <v>3</v>
      </c>
      <c r="AQ11" s="0" t="n">
        <v>0.992567489965518</v>
      </c>
      <c r="AR11" s="0" t="n">
        <v>1</v>
      </c>
      <c r="AS11" s="0" t="s">
        <v>92</v>
      </c>
      <c r="AT11" s="0" t="s">
        <v>92</v>
      </c>
      <c r="AV11" s="0" t="s">
        <v>93</v>
      </c>
      <c r="AW11" s="0" t="s">
        <v>83</v>
      </c>
      <c r="AZ11" s="0" t="n">
        <v>25</v>
      </c>
    </row>
    <row r="12" customFormat="false" ht="15" hidden="false" customHeight="false" outlineLevel="0" collapsed="false">
      <c r="A12" s="0" t="n">
        <v>16.61065</v>
      </c>
      <c r="B12" s="0" t="n">
        <v>14.98363</v>
      </c>
      <c r="C12" s="0" t="n">
        <v>15.13983</v>
      </c>
      <c r="D12" s="0" t="n">
        <v>15.87714</v>
      </c>
      <c r="E12" s="0" t="n">
        <v>16.34795</v>
      </c>
      <c r="F12" s="0" t="n">
        <v>18.04426</v>
      </c>
      <c r="G12" s="0" t="n">
        <v>15.84539</v>
      </c>
      <c r="H12" s="0" t="n">
        <v>14.24393</v>
      </c>
      <c r="I12" s="0" t="n">
        <v>15.52117</v>
      </c>
      <c r="J12" s="0" t="n">
        <v>17.70563</v>
      </c>
      <c r="K12" s="0" t="n">
        <v>17.93093</v>
      </c>
      <c r="L12" s="0" t="n">
        <v>13.40359</v>
      </c>
      <c r="M12" s="0" t="n">
        <v>12.58904</v>
      </c>
      <c r="N12" s="0" t="n">
        <v>14.04388</v>
      </c>
      <c r="O12" s="0" t="n">
        <v>12.90914</v>
      </c>
      <c r="P12" s="0" t="n">
        <v>17.07243</v>
      </c>
      <c r="Q12" s="0" t="n">
        <v>16.01094</v>
      </c>
      <c r="R12" s="0" t="n">
        <v>13.60968</v>
      </c>
      <c r="S12" s="0" t="n">
        <v>15.42859</v>
      </c>
      <c r="T12" s="0" t="n">
        <v>17.55577</v>
      </c>
      <c r="U12" s="0" t="n">
        <v>15.10579</v>
      </c>
      <c r="V12" s="0" t="n">
        <v>13.73862</v>
      </c>
      <c r="W12" s="0" t="n">
        <v>12.57185</v>
      </c>
      <c r="X12" s="0" t="n">
        <v>16.74439</v>
      </c>
      <c r="Y12" s="0" t="n">
        <v>16.60876</v>
      </c>
      <c r="Z12" s="0" t="n">
        <v>17.26673</v>
      </c>
      <c r="AA12" s="0" t="n">
        <v>17.10575</v>
      </c>
      <c r="AF12" s="0" t="n">
        <v>2</v>
      </c>
      <c r="AG12" s="0" t="n">
        <v>2</v>
      </c>
      <c r="AH12" s="0" t="n">
        <v>2</v>
      </c>
      <c r="AI12" s="0" t="n">
        <v>21.4</v>
      </c>
      <c r="AJ12" s="0" t="n">
        <v>21.4</v>
      </c>
      <c r="AK12" s="0" t="n">
        <v>21.4</v>
      </c>
      <c r="AL12" s="0" t="n">
        <v>13.016</v>
      </c>
      <c r="AM12" s="0" t="n">
        <v>0.010582</v>
      </c>
      <c r="AN12" s="0" t="n">
        <v>1.147</v>
      </c>
      <c r="AO12" s="0" t="n">
        <v>2703900</v>
      </c>
      <c r="AP12" s="0" t="n">
        <v>15</v>
      </c>
      <c r="AQ12" s="0" t="n">
        <v>0.534521376700601</v>
      </c>
      <c r="AR12" s="0" t="n">
        <v>0.853885714285714</v>
      </c>
      <c r="AS12" s="0" t="s">
        <v>94</v>
      </c>
      <c r="AT12" s="0" t="s">
        <v>94</v>
      </c>
      <c r="AU12" s="0" t="s">
        <v>95</v>
      </c>
      <c r="AV12" s="0" t="s">
        <v>96</v>
      </c>
      <c r="AW12" s="0" t="s">
        <v>83</v>
      </c>
      <c r="AZ12" s="0" t="n">
        <v>26</v>
      </c>
    </row>
    <row r="13" customFormat="false" ht="15" hidden="false" customHeight="false" outlineLevel="0" collapsed="false">
      <c r="A13" s="0" t="n">
        <v>18.66032</v>
      </c>
      <c r="B13" s="0" t="n">
        <v>17.82656</v>
      </c>
      <c r="C13" s="0" t="n">
        <v>19.42197</v>
      </c>
      <c r="D13" s="0" t="n">
        <v>19.27617</v>
      </c>
      <c r="E13" s="0" t="n">
        <v>20.62587</v>
      </c>
      <c r="F13" s="0" t="n">
        <v>18.1519</v>
      </c>
      <c r="G13" s="0" t="n">
        <v>19.53922</v>
      </c>
      <c r="H13" s="0" t="n">
        <v>19.53625</v>
      </c>
      <c r="I13" s="0" t="n">
        <v>17.47967</v>
      </c>
      <c r="J13" s="0" t="n">
        <v>20.21395</v>
      </c>
      <c r="K13" s="0" t="n">
        <v>16.55058</v>
      </c>
      <c r="L13" s="0" t="n">
        <v>18.65218</v>
      </c>
      <c r="M13" s="0" t="n">
        <v>20.26155</v>
      </c>
      <c r="N13" s="0" t="n">
        <v>20.62444</v>
      </c>
      <c r="O13" s="0" t="n">
        <v>20.82065</v>
      </c>
      <c r="P13" s="0" t="n">
        <v>19.78689</v>
      </c>
      <c r="Q13" s="0" t="n">
        <v>20.94664</v>
      </c>
      <c r="R13" s="0" t="n">
        <v>19.06397</v>
      </c>
      <c r="S13" s="0" t="n">
        <v>18.34178</v>
      </c>
      <c r="T13" s="0" t="n">
        <v>21.02147</v>
      </c>
      <c r="U13" s="0" t="n">
        <v>19.67342</v>
      </c>
      <c r="V13" s="0" t="n">
        <v>20.95992</v>
      </c>
      <c r="W13" s="0" t="n">
        <v>18.77748</v>
      </c>
      <c r="X13" s="0" t="n">
        <v>20.11807</v>
      </c>
      <c r="Y13" s="0" t="n">
        <v>19.78933</v>
      </c>
      <c r="Z13" s="0" t="n">
        <v>20.39393</v>
      </c>
      <c r="AA13" s="0" t="n">
        <v>19.48251</v>
      </c>
      <c r="AF13" s="0" t="n">
        <v>14</v>
      </c>
      <c r="AG13" s="0" t="n">
        <v>4</v>
      </c>
      <c r="AH13" s="0" t="n">
        <v>1</v>
      </c>
      <c r="AI13" s="0" t="n">
        <v>67.6</v>
      </c>
      <c r="AJ13" s="0" t="n">
        <v>30.9</v>
      </c>
      <c r="AK13" s="0" t="n">
        <v>7.4</v>
      </c>
      <c r="AL13" s="0" t="n">
        <v>36.508</v>
      </c>
      <c r="AM13" s="0" t="n">
        <v>0</v>
      </c>
      <c r="AN13" s="0" t="n">
        <v>97.297</v>
      </c>
      <c r="AO13" s="0" t="n">
        <v>39769000</v>
      </c>
      <c r="AP13" s="0" t="n">
        <v>128</v>
      </c>
      <c r="AQ13" s="0" t="n">
        <v>0.417207279972184</v>
      </c>
      <c r="AR13" s="0" t="n">
        <v>0.872814814814815</v>
      </c>
      <c r="AS13" s="0" t="s">
        <v>97</v>
      </c>
      <c r="AT13" s="0" t="s">
        <v>97</v>
      </c>
      <c r="AW13" s="0" t="s">
        <v>98</v>
      </c>
      <c r="AX13" s="0" t="n">
        <v>11</v>
      </c>
      <c r="AY13" s="0" t="n">
        <v>301</v>
      </c>
      <c r="AZ13" s="0" t="n">
        <v>29</v>
      </c>
    </row>
    <row r="14" customFormat="false" ht="15" hidden="false" customHeight="false" outlineLevel="0" collapsed="false">
      <c r="A14" s="0" t="n">
        <v>17.30742</v>
      </c>
      <c r="B14" s="0" t="n">
        <v>18.10952</v>
      </c>
      <c r="C14" s="0" t="n">
        <v>16.67278</v>
      </c>
      <c r="D14" s="0" t="n">
        <v>16.83022</v>
      </c>
      <c r="E14" s="0" t="n">
        <v>18.73085</v>
      </c>
      <c r="F14" s="0" t="n">
        <v>17.72421</v>
      </c>
      <c r="G14" s="0" t="n">
        <v>16.63793</v>
      </c>
      <c r="H14" s="0" t="n">
        <v>18.33259</v>
      </c>
      <c r="I14" s="0" t="n">
        <v>17.66477</v>
      </c>
      <c r="J14" s="0" t="n">
        <v>16.86882</v>
      </c>
      <c r="K14" s="0" t="n">
        <v>17.5491</v>
      </c>
      <c r="L14" s="0" t="n">
        <v>16.11537</v>
      </c>
      <c r="M14" s="0" t="n">
        <v>17.19902</v>
      </c>
      <c r="N14" s="0" t="n">
        <v>18.05992</v>
      </c>
      <c r="O14" s="0" t="n">
        <v>15.82143</v>
      </c>
      <c r="P14" s="0" t="n">
        <v>18.27034</v>
      </c>
      <c r="Q14" s="0" t="n">
        <v>17.30207</v>
      </c>
      <c r="R14" s="0" t="n">
        <v>17.32052</v>
      </c>
      <c r="S14" s="0" t="n">
        <v>17.84623</v>
      </c>
      <c r="T14" s="0" t="n">
        <v>17.85745</v>
      </c>
      <c r="U14" s="0" t="n">
        <v>18.27317</v>
      </c>
      <c r="V14" s="0" t="n">
        <v>17.10083</v>
      </c>
      <c r="W14" s="0" t="n">
        <v>18.2564</v>
      </c>
      <c r="X14" s="0" t="n">
        <v>17.80945</v>
      </c>
      <c r="Y14" s="0" t="n">
        <v>17.47564</v>
      </c>
      <c r="Z14" s="0" t="n">
        <v>16.52254</v>
      </c>
      <c r="AA14" s="0" t="n">
        <v>17.94261</v>
      </c>
      <c r="AF14" s="0" t="n">
        <v>64</v>
      </c>
      <c r="AG14" s="0" t="n">
        <v>2</v>
      </c>
      <c r="AH14" s="0" t="n">
        <v>0</v>
      </c>
      <c r="AI14" s="0" t="n">
        <v>47.9</v>
      </c>
      <c r="AJ14" s="0" t="n">
        <v>1.5</v>
      </c>
      <c r="AK14" s="0" t="n">
        <v>0</v>
      </c>
      <c r="AL14" s="0" t="n">
        <v>187.66</v>
      </c>
      <c r="AM14" s="0" t="n">
        <v>0</v>
      </c>
      <c r="AN14" s="0" t="n">
        <v>2.5194</v>
      </c>
      <c r="AO14" s="0" t="n">
        <v>7411000</v>
      </c>
      <c r="AP14" s="0" t="n">
        <v>19</v>
      </c>
      <c r="AQ14" s="0" t="n">
        <v>0.897235658583555</v>
      </c>
      <c r="AR14" s="0" t="n">
        <v>0.96748</v>
      </c>
      <c r="AS14" s="0" t="s">
        <v>99</v>
      </c>
      <c r="AT14" s="0" t="s">
        <v>99</v>
      </c>
      <c r="AW14" s="0" t="s">
        <v>100</v>
      </c>
      <c r="AX14" s="0" t="s">
        <v>101</v>
      </c>
      <c r="AY14" s="0" t="s">
        <v>102</v>
      </c>
      <c r="AZ14" s="0" t="n">
        <v>35</v>
      </c>
    </row>
    <row r="15" customFormat="false" ht="15" hidden="false" customHeight="false" outlineLevel="0" collapsed="false">
      <c r="A15" s="0" t="n">
        <v>16.87099</v>
      </c>
      <c r="B15" s="0" t="n">
        <v>16.72521</v>
      </c>
      <c r="C15" s="0" t="n">
        <v>16.80788</v>
      </c>
      <c r="D15" s="0" t="n">
        <v>15.46483</v>
      </c>
      <c r="E15" s="0" t="n">
        <v>16.24533</v>
      </c>
      <c r="F15" s="0" t="n">
        <v>16.07289</v>
      </c>
      <c r="G15" s="0" t="n">
        <v>17.55293</v>
      </c>
      <c r="H15" s="0" t="n">
        <v>16.0528</v>
      </c>
      <c r="I15" s="0" t="n">
        <v>15.85389</v>
      </c>
      <c r="J15" s="0" t="n">
        <v>16.97455</v>
      </c>
      <c r="K15" s="0" t="n">
        <v>16.99713</v>
      </c>
      <c r="L15" s="0" t="n">
        <v>18.04244</v>
      </c>
      <c r="M15" s="0" t="n">
        <v>15.76394</v>
      </c>
      <c r="N15" s="0" t="n">
        <v>15.20945</v>
      </c>
      <c r="O15" s="0" t="n">
        <v>16.83009</v>
      </c>
      <c r="P15" s="0" t="n">
        <v>15.99035</v>
      </c>
      <c r="Q15" s="0" t="n">
        <v>16.29822</v>
      </c>
      <c r="R15" s="0" t="n">
        <v>14.95042</v>
      </c>
      <c r="S15" s="0" t="n">
        <v>16.30878</v>
      </c>
      <c r="T15" s="0" t="n">
        <v>17.02637</v>
      </c>
      <c r="U15" s="0" t="n">
        <v>15.35066</v>
      </c>
      <c r="V15" s="0" t="n">
        <v>15.02851</v>
      </c>
      <c r="W15" s="0" t="n">
        <v>15.72443</v>
      </c>
      <c r="X15" s="0" t="n">
        <v>15.80176</v>
      </c>
      <c r="Y15" s="0" t="n">
        <v>16.63112</v>
      </c>
      <c r="Z15" s="0" t="n">
        <v>16.2312</v>
      </c>
      <c r="AA15" s="0" t="n">
        <v>16.76241</v>
      </c>
      <c r="AF15" s="0" t="n">
        <v>3</v>
      </c>
      <c r="AG15" s="0" t="n">
        <v>3</v>
      </c>
      <c r="AH15" s="0" t="n">
        <v>3</v>
      </c>
      <c r="AI15" s="0" t="n">
        <v>39.3</v>
      </c>
      <c r="AJ15" s="0" t="n">
        <v>39.3</v>
      </c>
      <c r="AK15" s="0" t="n">
        <v>39.3</v>
      </c>
      <c r="AL15" s="0" t="n">
        <v>12.815</v>
      </c>
      <c r="AM15" s="0" t="n">
        <v>0</v>
      </c>
      <c r="AN15" s="0" t="n">
        <v>4.8839</v>
      </c>
      <c r="AO15" s="0" t="n">
        <v>4060500</v>
      </c>
      <c r="AP15" s="0" t="n">
        <v>22</v>
      </c>
      <c r="AQ15" s="0" t="n">
        <v>0.205260948406384</v>
      </c>
      <c r="AR15" s="0" t="n">
        <v>0.697294117647059</v>
      </c>
      <c r="AS15" s="0" t="s">
        <v>103</v>
      </c>
      <c r="AT15" s="0" t="s">
        <v>103</v>
      </c>
      <c r="AU15" s="0" t="s">
        <v>104</v>
      </c>
      <c r="AV15" s="0" t="s">
        <v>105</v>
      </c>
      <c r="AW15" s="0" t="s">
        <v>65</v>
      </c>
      <c r="AZ15" s="0" t="n">
        <v>41</v>
      </c>
    </row>
    <row r="16" customFormat="false" ht="15" hidden="false" customHeight="false" outlineLevel="0" collapsed="false">
      <c r="A16" s="0" t="n">
        <v>18.36765</v>
      </c>
      <c r="B16" s="0" t="n">
        <v>19.0047</v>
      </c>
      <c r="C16" s="0" t="n">
        <v>16.93535</v>
      </c>
      <c r="D16" s="0" t="n">
        <v>19.05844</v>
      </c>
      <c r="E16" s="0" t="n">
        <v>18.90098</v>
      </c>
      <c r="F16" s="0" t="n">
        <v>19.43017</v>
      </c>
      <c r="G16" s="0" t="n">
        <v>18.28211</v>
      </c>
      <c r="H16" s="0" t="n">
        <v>18.67024</v>
      </c>
      <c r="I16" s="0" t="n">
        <v>17.82532</v>
      </c>
      <c r="J16" s="0" t="n">
        <v>17.42571</v>
      </c>
      <c r="K16" s="0" t="n">
        <v>15.8977</v>
      </c>
      <c r="L16" s="0" t="n">
        <v>19.78202</v>
      </c>
      <c r="M16" s="0" t="n">
        <v>19.32479</v>
      </c>
      <c r="N16" s="0" t="n">
        <v>19.24546</v>
      </c>
      <c r="O16" s="0" t="n">
        <v>19.61949</v>
      </c>
      <c r="P16" s="0" t="n">
        <v>18.74324</v>
      </c>
      <c r="Q16" s="0" t="n">
        <v>19.61901</v>
      </c>
      <c r="R16" s="0" t="n">
        <v>18.90894</v>
      </c>
      <c r="S16" s="0" t="n">
        <v>18.99333</v>
      </c>
      <c r="T16" s="0" t="n">
        <v>19.25082</v>
      </c>
      <c r="U16" s="0" t="n">
        <v>18.33001</v>
      </c>
      <c r="V16" s="0" t="n">
        <v>18.07953</v>
      </c>
      <c r="W16" s="0" t="n">
        <v>19.31893</v>
      </c>
      <c r="X16" s="0" t="n">
        <v>20.22247</v>
      </c>
      <c r="Y16" s="0" t="n">
        <v>20.15894</v>
      </c>
      <c r="Z16" s="0" t="n">
        <v>19.80303</v>
      </c>
      <c r="AA16" s="0" t="n">
        <v>19.91963</v>
      </c>
      <c r="AF16" s="0" t="n">
        <v>16</v>
      </c>
      <c r="AG16" s="0" t="n">
        <v>16</v>
      </c>
      <c r="AH16" s="0" t="n">
        <v>16</v>
      </c>
      <c r="AI16" s="0" t="n">
        <v>39.4</v>
      </c>
      <c r="AJ16" s="0" t="n">
        <v>39.4</v>
      </c>
      <c r="AK16" s="0" t="n">
        <v>39.4</v>
      </c>
      <c r="AL16" s="0" t="n">
        <v>81.889</v>
      </c>
      <c r="AM16" s="0" t="n">
        <v>0</v>
      </c>
      <c r="AN16" s="0" t="n">
        <v>310.21</v>
      </c>
      <c r="AO16" s="0" t="n">
        <v>20215000</v>
      </c>
      <c r="AP16" s="0" t="n">
        <v>45</v>
      </c>
      <c r="AQ16" s="0" t="n">
        <v>0.363433410077629</v>
      </c>
      <c r="AR16" s="0" t="n">
        <v>0.82584</v>
      </c>
      <c r="AS16" s="0" t="s">
        <v>106</v>
      </c>
      <c r="AT16" s="0" t="s">
        <v>107</v>
      </c>
      <c r="AU16" s="0" t="s">
        <v>108</v>
      </c>
      <c r="AV16" s="0" t="s">
        <v>109</v>
      </c>
      <c r="AW16" s="0" t="s">
        <v>110</v>
      </c>
      <c r="AX16" s="0" t="n">
        <v>21</v>
      </c>
      <c r="AY16" s="0" t="n">
        <v>407</v>
      </c>
      <c r="AZ16" s="0" t="n">
        <v>44</v>
      </c>
    </row>
    <row r="17" customFormat="false" ht="15" hidden="false" customHeight="false" outlineLevel="0" collapsed="false">
      <c r="A17" s="0" t="n">
        <v>19.24298</v>
      </c>
      <c r="B17" s="0" t="n">
        <v>19.62824</v>
      </c>
      <c r="C17" s="0" t="n">
        <v>18.7613</v>
      </c>
      <c r="D17" s="0" t="n">
        <v>19.6322</v>
      </c>
      <c r="E17" s="0" t="n">
        <v>20.27264</v>
      </c>
      <c r="F17" s="0" t="n">
        <v>19.30184</v>
      </c>
      <c r="G17" s="0" t="n">
        <v>20.62694</v>
      </c>
      <c r="H17" s="0" t="n">
        <v>19.75174</v>
      </c>
      <c r="I17" s="0" t="n">
        <v>19.14602</v>
      </c>
      <c r="J17" s="0" t="n">
        <v>20.44849</v>
      </c>
      <c r="K17" s="0" t="n">
        <v>15.85504</v>
      </c>
      <c r="L17" s="0" t="n">
        <v>21.54694</v>
      </c>
      <c r="M17" s="0" t="n">
        <v>19.57511</v>
      </c>
      <c r="N17" s="0" t="n">
        <v>19.70548</v>
      </c>
      <c r="O17" s="0" t="n">
        <v>20.97078</v>
      </c>
      <c r="P17" s="0" t="n">
        <v>19.76704</v>
      </c>
      <c r="Q17" s="0" t="n">
        <v>19.71478</v>
      </c>
      <c r="R17" s="0" t="n">
        <v>19.66075</v>
      </c>
      <c r="S17" s="0" t="n">
        <v>19.86501</v>
      </c>
      <c r="T17" s="0" t="n">
        <v>19.41305</v>
      </c>
      <c r="U17" s="0" t="n">
        <v>20.28365</v>
      </c>
      <c r="V17" s="0" t="n">
        <v>20.01182</v>
      </c>
      <c r="W17" s="0" t="n">
        <v>19.60252</v>
      </c>
      <c r="X17" s="0" t="n">
        <v>20.03966</v>
      </c>
      <c r="Y17" s="0" t="n">
        <v>20.36217</v>
      </c>
      <c r="Z17" s="0" t="n">
        <v>19.74207</v>
      </c>
      <c r="AA17" s="0" t="n">
        <v>20.61746</v>
      </c>
      <c r="AF17" s="0" t="n">
        <v>34</v>
      </c>
      <c r="AG17" s="0" t="n">
        <v>34</v>
      </c>
      <c r="AH17" s="0" t="n">
        <v>24</v>
      </c>
      <c r="AI17" s="0" t="n">
        <v>35.2</v>
      </c>
      <c r="AJ17" s="0" t="n">
        <v>35.2</v>
      </c>
      <c r="AK17" s="0" t="n">
        <v>23.5</v>
      </c>
      <c r="AL17" s="0" t="n">
        <v>140.94</v>
      </c>
      <c r="AM17" s="0" t="n">
        <v>0</v>
      </c>
      <c r="AN17" s="0" t="n">
        <v>106.32</v>
      </c>
      <c r="AO17" s="0" t="n">
        <v>45635000</v>
      </c>
      <c r="AP17" s="0" t="n">
        <v>147</v>
      </c>
      <c r="AQ17" s="0" t="n">
        <v>0.746861242118552</v>
      </c>
      <c r="AR17" s="0" t="n">
        <v>0.9124</v>
      </c>
      <c r="AS17" s="0" t="s">
        <v>111</v>
      </c>
      <c r="AT17" s="0" t="s">
        <v>112</v>
      </c>
      <c r="AU17" s="0" t="s">
        <v>113</v>
      </c>
      <c r="AV17" s="0" t="s">
        <v>114</v>
      </c>
      <c r="AW17" s="0" t="s">
        <v>115</v>
      </c>
      <c r="AX17" s="0" t="s">
        <v>116</v>
      </c>
      <c r="AY17" s="0" t="s">
        <v>117</v>
      </c>
      <c r="AZ17" s="0" t="n">
        <v>46</v>
      </c>
    </row>
    <row r="18" customFormat="false" ht="15" hidden="false" customHeight="false" outlineLevel="0" collapsed="false">
      <c r="A18" s="0" t="n">
        <v>20.96332</v>
      </c>
      <c r="B18" s="0" t="n">
        <v>20.67702</v>
      </c>
      <c r="C18" s="0" t="n">
        <v>20.54189</v>
      </c>
      <c r="D18" s="0" t="n">
        <v>20.74706</v>
      </c>
      <c r="E18" s="0" t="n">
        <v>21.04347</v>
      </c>
      <c r="F18" s="0" t="n">
        <v>21.29603</v>
      </c>
      <c r="G18" s="0" t="n">
        <v>20.57089</v>
      </c>
      <c r="H18" s="0" t="n">
        <v>21.89078</v>
      </c>
      <c r="I18" s="0" t="n">
        <v>21.34965</v>
      </c>
      <c r="J18" s="0" t="n">
        <v>21.53867</v>
      </c>
      <c r="K18" s="0" t="n">
        <v>21.20729</v>
      </c>
      <c r="L18" s="0" t="n">
        <v>20.77427</v>
      </c>
      <c r="M18" s="0" t="n">
        <v>22.25664</v>
      </c>
      <c r="N18" s="0" t="n">
        <v>20.42859</v>
      </c>
      <c r="O18" s="0" t="n">
        <v>20.6054</v>
      </c>
      <c r="P18" s="0" t="n">
        <v>21.66514</v>
      </c>
      <c r="Q18" s="0" t="n">
        <v>21.5609</v>
      </c>
      <c r="R18" s="0" t="n">
        <v>21.02715</v>
      </c>
      <c r="S18" s="0" t="n">
        <v>21.52061</v>
      </c>
      <c r="T18" s="0" t="n">
        <v>21.20108</v>
      </c>
      <c r="U18" s="0" t="n">
        <v>22.83148</v>
      </c>
      <c r="V18" s="0" t="n">
        <v>21.84487</v>
      </c>
      <c r="W18" s="0" t="n">
        <v>21.31529</v>
      </c>
      <c r="X18" s="0" t="n">
        <v>21.30084</v>
      </c>
      <c r="Y18" s="0" t="n">
        <v>21.68496</v>
      </c>
      <c r="Z18" s="0" t="n">
        <v>21.60612</v>
      </c>
      <c r="AA18" s="0" t="n">
        <v>21.75666</v>
      </c>
      <c r="AF18" s="0" t="n">
        <v>25</v>
      </c>
      <c r="AG18" s="0" t="n">
        <v>25</v>
      </c>
      <c r="AH18" s="0" t="n">
        <v>25</v>
      </c>
      <c r="AI18" s="0" t="n">
        <v>38.6</v>
      </c>
      <c r="AJ18" s="0" t="n">
        <v>38.6</v>
      </c>
      <c r="AK18" s="0" t="n">
        <v>38.6</v>
      </c>
      <c r="AL18" s="0" t="n">
        <v>103.88</v>
      </c>
      <c r="AM18" s="0" t="n">
        <v>0</v>
      </c>
      <c r="AN18" s="0" t="n">
        <v>323.31</v>
      </c>
      <c r="AO18" s="0" t="n">
        <v>106840000</v>
      </c>
      <c r="AP18" s="0" t="n">
        <v>314</v>
      </c>
      <c r="AQ18" s="0" t="n">
        <v>0.00719511007317631</v>
      </c>
      <c r="AR18" s="0" t="n">
        <v>0.209</v>
      </c>
      <c r="AS18" s="0" t="s">
        <v>118</v>
      </c>
      <c r="AT18" s="0" t="s">
        <v>118</v>
      </c>
      <c r="AU18" s="0" t="s">
        <v>119</v>
      </c>
      <c r="AV18" s="0" t="s">
        <v>120</v>
      </c>
      <c r="AW18" s="0" t="s">
        <v>121</v>
      </c>
      <c r="AX18" s="0" t="s">
        <v>122</v>
      </c>
      <c r="AY18" s="0" t="s">
        <v>123</v>
      </c>
      <c r="AZ18" s="0" t="n">
        <v>48</v>
      </c>
    </row>
    <row r="19" customFormat="false" ht="15" hidden="false" customHeight="false" outlineLevel="0" collapsed="false">
      <c r="A19" s="0" t="n">
        <v>16.70523</v>
      </c>
      <c r="B19" s="0" t="n">
        <v>16.24299</v>
      </c>
      <c r="C19" s="0" t="n">
        <v>16.76552</v>
      </c>
      <c r="D19" s="0" t="n">
        <v>17.33429</v>
      </c>
      <c r="E19" s="0" t="n">
        <v>16.88178</v>
      </c>
      <c r="F19" s="0" t="n">
        <v>17.82196</v>
      </c>
      <c r="G19" s="0" t="n">
        <v>19.60695</v>
      </c>
      <c r="H19" s="0" t="n">
        <v>15.73566</v>
      </c>
      <c r="I19" s="0" t="n">
        <v>17.1434</v>
      </c>
      <c r="J19" s="0" t="n">
        <v>17.66317</v>
      </c>
      <c r="K19" s="0" t="n">
        <v>16.83415</v>
      </c>
      <c r="L19" s="0" t="n">
        <v>19.6268</v>
      </c>
      <c r="M19" s="0" t="n">
        <v>15.88855</v>
      </c>
      <c r="N19" s="0" t="n">
        <v>16.90759</v>
      </c>
      <c r="O19" s="0" t="n">
        <v>19.55056</v>
      </c>
      <c r="P19" s="0" t="n">
        <v>16.69561</v>
      </c>
      <c r="Q19" s="0" t="n">
        <v>13.50542</v>
      </c>
      <c r="R19" s="0" t="n">
        <v>15.68606</v>
      </c>
      <c r="S19" s="0" t="n">
        <v>16.28962</v>
      </c>
      <c r="T19" s="0" t="n">
        <v>16.15644</v>
      </c>
      <c r="U19" s="0" t="n">
        <v>14.86873</v>
      </c>
      <c r="V19" s="0" t="n">
        <v>15.83061</v>
      </c>
      <c r="W19" s="0" t="n">
        <v>16.23244</v>
      </c>
      <c r="X19" s="0" t="n">
        <v>16.10617</v>
      </c>
      <c r="Y19" s="0" t="n">
        <v>13.92333</v>
      </c>
      <c r="Z19" s="0" t="n">
        <v>16.10607</v>
      </c>
      <c r="AA19" s="0" t="n">
        <v>14.54472</v>
      </c>
      <c r="AF19" s="0" t="n">
        <v>5</v>
      </c>
      <c r="AG19" s="0" t="n">
        <v>5</v>
      </c>
      <c r="AH19" s="0" t="n">
        <v>5</v>
      </c>
      <c r="AI19" s="0" t="n">
        <v>26</v>
      </c>
      <c r="AJ19" s="0" t="n">
        <v>26</v>
      </c>
      <c r="AK19" s="0" t="n">
        <v>26</v>
      </c>
      <c r="AL19" s="0" t="n">
        <v>24.158</v>
      </c>
      <c r="AM19" s="0" t="n">
        <v>0</v>
      </c>
      <c r="AN19" s="0" t="n">
        <v>19.093</v>
      </c>
      <c r="AO19" s="0" t="n">
        <v>8489300</v>
      </c>
      <c r="AP19" s="0" t="n">
        <v>35</v>
      </c>
      <c r="AQ19" s="0" t="n">
        <v>0.0698310842817766</v>
      </c>
      <c r="AR19" s="0" t="n">
        <v>0.5105</v>
      </c>
      <c r="AS19" s="0" t="s">
        <v>124</v>
      </c>
      <c r="AT19" s="0" t="s">
        <v>125</v>
      </c>
      <c r="AU19" s="0" t="s">
        <v>126</v>
      </c>
      <c r="AV19" s="0" t="s">
        <v>127</v>
      </c>
      <c r="AW19" s="0" t="s">
        <v>87</v>
      </c>
      <c r="AX19" s="0" t="n">
        <v>26</v>
      </c>
      <c r="AY19" s="0" t="n">
        <v>205</v>
      </c>
      <c r="AZ19" s="0" t="n">
        <v>49</v>
      </c>
    </row>
    <row r="20" customFormat="false" ht="15" hidden="false" customHeight="false" outlineLevel="0" collapsed="false">
      <c r="A20" s="0" t="n">
        <v>14.48834</v>
      </c>
      <c r="B20" s="0" t="n">
        <v>14.79299</v>
      </c>
      <c r="C20" s="0" t="n">
        <v>16.01837</v>
      </c>
      <c r="D20" s="0" t="n">
        <v>15.02756</v>
      </c>
      <c r="E20" s="0" t="n">
        <v>14.68212</v>
      </c>
      <c r="F20" s="0" t="n">
        <v>14.80438</v>
      </c>
      <c r="G20" s="0" t="n">
        <v>14.2246</v>
      </c>
      <c r="H20" s="0" t="n">
        <v>14.342</v>
      </c>
      <c r="I20" s="0" t="n">
        <v>14.30705</v>
      </c>
      <c r="J20" s="0" t="n">
        <v>15.38245</v>
      </c>
      <c r="K20" s="0" t="n">
        <v>17.54364</v>
      </c>
      <c r="L20" s="0" t="n">
        <v>14.0467</v>
      </c>
      <c r="M20" s="0" t="n">
        <v>16.61886</v>
      </c>
      <c r="N20" s="0" t="n">
        <v>13.89983</v>
      </c>
      <c r="O20" s="0" t="n">
        <v>14.01985</v>
      </c>
      <c r="P20" s="0" t="n">
        <v>14.31897</v>
      </c>
      <c r="Q20" s="0" t="n">
        <v>14.57784</v>
      </c>
      <c r="R20" s="0" t="n">
        <v>14.74599</v>
      </c>
      <c r="S20" s="0" t="n">
        <v>14.51668</v>
      </c>
      <c r="T20" s="0" t="n">
        <v>14.63923</v>
      </c>
      <c r="U20" s="0" t="n">
        <v>14.78979</v>
      </c>
      <c r="V20" s="0" t="n">
        <v>14.30064</v>
      </c>
      <c r="W20" s="0" t="n">
        <v>14.61909</v>
      </c>
      <c r="X20" s="0" t="n">
        <v>14.26539</v>
      </c>
      <c r="Y20" s="0" t="n">
        <v>14.21105</v>
      </c>
      <c r="Z20" s="0" t="n">
        <v>14.82242</v>
      </c>
      <c r="AA20" s="0" t="n">
        <v>14.75578</v>
      </c>
      <c r="AF20" s="0" t="n">
        <v>3</v>
      </c>
      <c r="AG20" s="0" t="n">
        <v>3</v>
      </c>
      <c r="AH20" s="0" t="n">
        <v>3</v>
      </c>
      <c r="AI20" s="0" t="n">
        <v>6.3</v>
      </c>
      <c r="AJ20" s="0" t="n">
        <v>6.3</v>
      </c>
      <c r="AK20" s="0" t="n">
        <v>6.3</v>
      </c>
      <c r="AL20" s="0" t="n">
        <v>71.482</v>
      </c>
      <c r="AM20" s="0" t="n">
        <v>0</v>
      </c>
      <c r="AN20" s="0" t="n">
        <v>2.0404</v>
      </c>
      <c r="AO20" s="0" t="n">
        <v>830480</v>
      </c>
      <c r="AP20" s="0" t="n">
        <v>10</v>
      </c>
      <c r="AQ20" s="0" t="n">
        <v>0.677252386597782</v>
      </c>
      <c r="AR20" s="0" t="n">
        <v>0.910780487804878</v>
      </c>
      <c r="AS20" s="0" t="s">
        <v>128</v>
      </c>
      <c r="AT20" s="0" t="s">
        <v>129</v>
      </c>
      <c r="AU20" s="0" t="s">
        <v>130</v>
      </c>
      <c r="AV20" s="0" t="s">
        <v>131</v>
      </c>
      <c r="AW20" s="0" t="s">
        <v>65</v>
      </c>
      <c r="AZ20" s="0" t="n">
        <v>68</v>
      </c>
    </row>
    <row r="21" customFormat="false" ht="15" hidden="false" customHeight="false" outlineLevel="0" collapsed="false">
      <c r="A21" s="0" t="n">
        <v>16.96251</v>
      </c>
      <c r="B21" s="0" t="n">
        <v>15.6474</v>
      </c>
      <c r="C21" s="0" t="n">
        <v>16.36293</v>
      </c>
      <c r="D21" s="0" t="n">
        <v>16.06842</v>
      </c>
      <c r="E21" s="0" t="n">
        <v>16.47856</v>
      </c>
      <c r="F21" s="0" t="n">
        <v>16.61884</v>
      </c>
      <c r="G21" s="0" t="n">
        <v>17.40333</v>
      </c>
      <c r="H21" s="0" t="n">
        <v>16.12811</v>
      </c>
      <c r="I21" s="0" t="n">
        <v>16.74491</v>
      </c>
      <c r="J21" s="0" t="n">
        <v>17.06108</v>
      </c>
      <c r="K21" s="0" t="n">
        <v>17.12307</v>
      </c>
      <c r="L21" s="0" t="n">
        <v>19.09697</v>
      </c>
      <c r="M21" s="0" t="n">
        <v>15.7436</v>
      </c>
      <c r="N21" s="0" t="n">
        <v>16.17713</v>
      </c>
      <c r="O21" s="0" t="n">
        <v>17.80612</v>
      </c>
      <c r="P21" s="0" t="n">
        <v>16.37103</v>
      </c>
      <c r="Q21" s="0" t="n">
        <v>15.74531</v>
      </c>
      <c r="R21" s="0" t="n">
        <v>16.0411</v>
      </c>
      <c r="S21" s="0" t="n">
        <v>15.90452</v>
      </c>
      <c r="T21" s="0" t="n">
        <v>16.81903</v>
      </c>
      <c r="U21" s="0" t="n">
        <v>14.64135</v>
      </c>
      <c r="V21" s="0" t="n">
        <v>17.13711</v>
      </c>
      <c r="W21" s="0" t="n">
        <v>15.56084</v>
      </c>
      <c r="X21" s="0" t="n">
        <v>15.61876</v>
      </c>
      <c r="Y21" s="0" t="n">
        <v>16.04097</v>
      </c>
      <c r="Z21" s="0" t="n">
        <v>16.29873</v>
      </c>
      <c r="AA21" s="0" t="n">
        <v>15.57406</v>
      </c>
      <c r="AF21" s="0" t="n">
        <v>4</v>
      </c>
      <c r="AG21" s="0" t="n">
        <v>4</v>
      </c>
      <c r="AH21" s="0" t="n">
        <v>4</v>
      </c>
      <c r="AI21" s="0" t="n">
        <v>41.4</v>
      </c>
      <c r="AJ21" s="0" t="n">
        <v>41.4</v>
      </c>
      <c r="AK21" s="0" t="n">
        <v>41.4</v>
      </c>
      <c r="AL21" s="0" t="n">
        <v>17.679</v>
      </c>
      <c r="AM21" s="0" t="n">
        <v>0</v>
      </c>
      <c r="AN21" s="0" t="n">
        <v>5.7896</v>
      </c>
      <c r="AO21" s="0" t="n">
        <v>4658700</v>
      </c>
      <c r="AP21" s="0" t="n">
        <v>9</v>
      </c>
      <c r="AQ21" s="0" t="n">
        <v>0.18286227440437</v>
      </c>
      <c r="AR21" s="0" t="n">
        <v>0.762142857142857</v>
      </c>
      <c r="AS21" s="0" t="s">
        <v>132</v>
      </c>
      <c r="AT21" s="0" t="s">
        <v>132</v>
      </c>
      <c r="AU21" s="0" t="s">
        <v>133</v>
      </c>
      <c r="AV21" s="0" t="s">
        <v>134</v>
      </c>
      <c r="AW21" s="0" t="s">
        <v>135</v>
      </c>
      <c r="AZ21" s="0" t="n">
        <v>69</v>
      </c>
    </row>
    <row r="22" customFormat="false" ht="15" hidden="false" customHeight="false" outlineLevel="0" collapsed="false">
      <c r="A22" s="0" t="n">
        <v>17.9036</v>
      </c>
      <c r="B22" s="0" t="n">
        <v>17.99937</v>
      </c>
      <c r="C22" s="0" t="n">
        <v>18.41055</v>
      </c>
      <c r="D22" s="0" t="n">
        <v>18.24665</v>
      </c>
      <c r="E22" s="0" t="n">
        <v>18.56852</v>
      </c>
      <c r="F22" s="0" t="n">
        <v>18.96065</v>
      </c>
      <c r="G22" s="0" t="n">
        <v>18.019</v>
      </c>
      <c r="H22" s="0" t="n">
        <v>18.90304</v>
      </c>
      <c r="I22" s="0" t="n">
        <v>18.38385</v>
      </c>
      <c r="J22" s="0" t="n">
        <v>18.88136</v>
      </c>
      <c r="K22" s="0" t="n">
        <v>17.18513</v>
      </c>
      <c r="L22" s="0" t="n">
        <v>17.44912</v>
      </c>
      <c r="M22" s="0" t="n">
        <v>18.63062</v>
      </c>
      <c r="N22" s="0" t="n">
        <v>19.42675</v>
      </c>
      <c r="O22" s="0" t="n">
        <v>18.3753</v>
      </c>
      <c r="P22" s="0" t="n">
        <v>18.32474</v>
      </c>
      <c r="Q22" s="0" t="n">
        <v>18.74944</v>
      </c>
      <c r="R22" s="0" t="n">
        <v>18.53169</v>
      </c>
      <c r="S22" s="0" t="n">
        <v>18.9861</v>
      </c>
      <c r="T22" s="0" t="n">
        <v>18.86348</v>
      </c>
      <c r="U22" s="0" t="n">
        <v>18.76325</v>
      </c>
      <c r="V22" s="0" t="n">
        <v>19.03869</v>
      </c>
      <c r="W22" s="0" t="n">
        <v>18.40715</v>
      </c>
      <c r="X22" s="0" t="n">
        <v>18.57093</v>
      </c>
      <c r="Y22" s="0" t="n">
        <v>19.1775</v>
      </c>
      <c r="Z22" s="0" t="n">
        <v>19.03158</v>
      </c>
      <c r="AA22" s="0" t="n">
        <v>19.60462</v>
      </c>
      <c r="AF22" s="0" t="n">
        <v>12</v>
      </c>
      <c r="AG22" s="0" t="n">
        <v>12</v>
      </c>
      <c r="AH22" s="0" t="n">
        <v>12</v>
      </c>
      <c r="AI22" s="0" t="n">
        <v>28.1</v>
      </c>
      <c r="AJ22" s="0" t="n">
        <v>28.1</v>
      </c>
      <c r="AK22" s="0" t="n">
        <v>28.1</v>
      </c>
      <c r="AL22" s="0" t="n">
        <v>65.059</v>
      </c>
      <c r="AM22" s="0" t="n">
        <v>0</v>
      </c>
      <c r="AN22" s="0" t="n">
        <v>29.539</v>
      </c>
      <c r="AO22" s="0" t="n">
        <v>15487000</v>
      </c>
      <c r="AP22" s="0" t="n">
        <v>89</v>
      </c>
      <c r="AQ22" s="0" t="n">
        <v>0.186070977441263</v>
      </c>
      <c r="AR22" s="0" t="n">
        <v>0.748</v>
      </c>
      <c r="AS22" s="0" t="s">
        <v>136</v>
      </c>
      <c r="AT22" s="0" t="s">
        <v>137</v>
      </c>
      <c r="AU22" s="0" t="s">
        <v>138</v>
      </c>
      <c r="AV22" s="0" t="s">
        <v>139</v>
      </c>
      <c r="AW22" s="0" t="s">
        <v>140</v>
      </c>
      <c r="AZ22" s="0" t="n">
        <v>73</v>
      </c>
    </row>
    <row r="23" customFormat="false" ht="15" hidden="false" customHeight="false" outlineLevel="0" collapsed="false">
      <c r="A23" s="0" t="n">
        <v>17.15877</v>
      </c>
      <c r="B23" s="0" t="n">
        <v>17.60176</v>
      </c>
      <c r="C23" s="0" t="n">
        <v>16.15444</v>
      </c>
      <c r="D23" s="0" t="n">
        <v>17.25985</v>
      </c>
      <c r="E23" s="0" t="n">
        <v>17.74832</v>
      </c>
      <c r="F23" s="0" t="n">
        <v>17.93249</v>
      </c>
      <c r="G23" s="0" t="n">
        <v>17.18107</v>
      </c>
      <c r="H23" s="0" t="n">
        <v>17.38945</v>
      </c>
      <c r="I23" s="0" t="n">
        <v>16.68661</v>
      </c>
      <c r="J23" s="0" t="n">
        <v>17.40757</v>
      </c>
      <c r="K23" s="0" t="n">
        <v>16.70231</v>
      </c>
      <c r="L23" s="0" t="n">
        <v>16.21847</v>
      </c>
      <c r="M23" s="0" t="n">
        <v>17.58358</v>
      </c>
      <c r="N23" s="0" t="n">
        <v>18.16212</v>
      </c>
      <c r="O23" s="0" t="n">
        <v>17.67927</v>
      </c>
      <c r="P23" s="0" t="n">
        <v>17.47959</v>
      </c>
      <c r="Q23" s="0" t="n">
        <v>18.09661</v>
      </c>
      <c r="R23" s="0" t="n">
        <v>17.7604</v>
      </c>
      <c r="S23" s="0" t="n">
        <v>17.61274</v>
      </c>
      <c r="T23" s="0" t="n">
        <v>17.80423</v>
      </c>
      <c r="U23" s="0" t="n">
        <v>16.97656</v>
      </c>
      <c r="V23" s="0" t="n">
        <v>17.23463</v>
      </c>
      <c r="W23" s="0" t="n">
        <v>17.64223</v>
      </c>
      <c r="X23" s="0" t="n">
        <v>18.02626</v>
      </c>
      <c r="Y23" s="0" t="n">
        <v>18.10011</v>
      </c>
      <c r="Z23" s="0" t="n">
        <v>17.68442</v>
      </c>
      <c r="AA23" s="0" t="n">
        <v>18.38406</v>
      </c>
      <c r="AF23" s="0" t="n">
        <v>10</v>
      </c>
      <c r="AG23" s="0" t="n">
        <v>10</v>
      </c>
      <c r="AH23" s="0" t="n">
        <v>10</v>
      </c>
      <c r="AI23" s="0" t="n">
        <v>26.9</v>
      </c>
      <c r="AJ23" s="0" t="n">
        <v>26.9</v>
      </c>
      <c r="AK23" s="0" t="n">
        <v>26.9</v>
      </c>
      <c r="AL23" s="0" t="n">
        <v>57.519</v>
      </c>
      <c r="AM23" s="0" t="n">
        <v>0</v>
      </c>
      <c r="AN23" s="0" t="n">
        <v>30.288</v>
      </c>
      <c r="AO23" s="0" t="n">
        <v>7013200</v>
      </c>
      <c r="AP23" s="0" t="n">
        <v>62</v>
      </c>
      <c r="AQ23" s="0" t="n">
        <v>0.583793563792165</v>
      </c>
      <c r="AR23" s="0" t="n">
        <v>0.875945945945946</v>
      </c>
      <c r="AS23" s="0" t="s">
        <v>141</v>
      </c>
      <c r="AT23" s="0" t="s">
        <v>142</v>
      </c>
      <c r="AU23" s="0" t="s">
        <v>143</v>
      </c>
      <c r="AV23" s="0" t="s">
        <v>144</v>
      </c>
      <c r="AW23" s="0" t="s">
        <v>145</v>
      </c>
      <c r="AZ23" s="0" t="n">
        <v>79</v>
      </c>
    </row>
    <row r="24" customFormat="false" ht="15" hidden="false" customHeight="false" outlineLevel="0" collapsed="false">
      <c r="A24" s="0" t="n">
        <v>16.03228</v>
      </c>
      <c r="B24" s="0" t="n">
        <v>15.68762</v>
      </c>
      <c r="C24" s="0" t="n">
        <v>17.02894</v>
      </c>
      <c r="D24" s="0" t="n">
        <v>15.65997</v>
      </c>
      <c r="E24" s="0" t="n">
        <v>16.28093</v>
      </c>
      <c r="F24" s="0" t="n">
        <v>16.10349</v>
      </c>
      <c r="G24" s="0" t="n">
        <v>16.72081</v>
      </c>
      <c r="H24" s="0" t="n">
        <v>16.28171</v>
      </c>
      <c r="I24" s="0" t="n">
        <v>16.09795</v>
      </c>
      <c r="J24" s="0" t="n">
        <v>16.60964</v>
      </c>
      <c r="K24" s="0" t="n">
        <v>16.20086</v>
      </c>
      <c r="L24" s="0" t="n">
        <v>19.20278</v>
      </c>
      <c r="M24" s="0" t="n">
        <v>17.40624</v>
      </c>
      <c r="N24" s="0" t="n">
        <v>17.04921</v>
      </c>
      <c r="O24" s="0" t="n">
        <v>17.15116</v>
      </c>
      <c r="P24" s="0" t="n">
        <v>15.63594</v>
      </c>
      <c r="Q24" s="0" t="n">
        <v>15.97578</v>
      </c>
      <c r="R24" s="0" t="n">
        <v>16.62856</v>
      </c>
      <c r="S24" s="0" t="n">
        <v>15.69675</v>
      </c>
      <c r="T24" s="0" t="n">
        <v>16.13777</v>
      </c>
      <c r="U24" s="0" t="n">
        <v>16.51595</v>
      </c>
      <c r="V24" s="0" t="n">
        <v>16.00933</v>
      </c>
      <c r="W24" s="0" t="n">
        <v>17.96753</v>
      </c>
      <c r="X24" s="0" t="n">
        <v>18.1683</v>
      </c>
      <c r="Y24" s="0" t="n">
        <v>15.41858</v>
      </c>
      <c r="Z24" s="0" t="n">
        <v>16.34096</v>
      </c>
      <c r="AA24" s="0" t="n">
        <v>16.42789</v>
      </c>
      <c r="AF24" s="0" t="n">
        <v>7</v>
      </c>
      <c r="AG24" s="0" t="n">
        <v>7</v>
      </c>
      <c r="AH24" s="0" t="n">
        <v>7</v>
      </c>
      <c r="AI24" s="0" t="n">
        <v>12.8</v>
      </c>
      <c r="AJ24" s="0" t="n">
        <v>12.8</v>
      </c>
      <c r="AK24" s="0" t="n">
        <v>12.8</v>
      </c>
      <c r="AL24" s="0" t="n">
        <v>76.773</v>
      </c>
      <c r="AM24" s="0" t="n">
        <v>0</v>
      </c>
      <c r="AN24" s="0" t="n">
        <v>4.8021</v>
      </c>
      <c r="AO24" s="0" t="n">
        <v>4459100</v>
      </c>
      <c r="AP24" s="0" t="n">
        <v>18</v>
      </c>
      <c r="AQ24" s="0" t="n">
        <v>0.527427781348257</v>
      </c>
      <c r="AR24" s="0" t="n">
        <v>0.855072463768116</v>
      </c>
      <c r="AS24" s="0" t="s">
        <v>146</v>
      </c>
      <c r="AT24" s="0" t="s">
        <v>147</v>
      </c>
      <c r="AU24" s="0" t="s">
        <v>148</v>
      </c>
      <c r="AV24" s="0" t="s">
        <v>149</v>
      </c>
      <c r="AW24" s="0" t="s">
        <v>150</v>
      </c>
      <c r="AZ24" s="0" t="n">
        <v>82</v>
      </c>
    </row>
    <row r="25" customFormat="false" ht="15" hidden="false" customHeight="false" outlineLevel="0" collapsed="false">
      <c r="A25" s="0" t="n">
        <v>16.95629</v>
      </c>
      <c r="B25" s="0" t="n">
        <v>16.00246</v>
      </c>
      <c r="C25" s="0" t="n">
        <v>17.58564</v>
      </c>
      <c r="D25" s="0" t="n">
        <v>15.39419</v>
      </c>
      <c r="E25" s="0" t="n">
        <v>17.23827</v>
      </c>
      <c r="F25" s="0" t="n">
        <v>17.4399</v>
      </c>
      <c r="G25" s="0" t="n">
        <v>16.17035</v>
      </c>
      <c r="H25" s="0" t="n">
        <v>17.10339</v>
      </c>
      <c r="I25" s="0" t="n">
        <v>16.02624</v>
      </c>
      <c r="J25" s="0" t="n">
        <v>16.28989</v>
      </c>
      <c r="K25" s="0" t="n">
        <v>16.82182</v>
      </c>
      <c r="L25" s="0" t="n">
        <v>18.67756</v>
      </c>
      <c r="M25" s="0" t="n">
        <v>17.41105</v>
      </c>
      <c r="N25" s="0" t="n">
        <v>15.71272</v>
      </c>
      <c r="O25" s="0" t="n">
        <v>19.01463</v>
      </c>
      <c r="P25" s="0" t="n">
        <v>15.29311</v>
      </c>
      <c r="Q25" s="0" t="n">
        <v>17.31946</v>
      </c>
      <c r="R25" s="0" t="n">
        <v>17.02583</v>
      </c>
      <c r="S25" s="0" t="n">
        <v>14.07038</v>
      </c>
      <c r="T25" s="0" t="n">
        <v>17.08254</v>
      </c>
      <c r="U25" s="0" t="n">
        <v>16.48946</v>
      </c>
      <c r="V25" s="0" t="n">
        <v>16.72494</v>
      </c>
      <c r="W25" s="0" t="n">
        <v>13.6196</v>
      </c>
      <c r="X25" s="0" t="n">
        <v>16.07869</v>
      </c>
      <c r="Y25" s="0" t="n">
        <v>17.30804</v>
      </c>
      <c r="Z25" s="0" t="n">
        <v>16.60864</v>
      </c>
      <c r="AA25" s="0" t="n">
        <v>17.24739</v>
      </c>
      <c r="AF25" s="0" t="n">
        <v>6</v>
      </c>
      <c r="AG25" s="0" t="n">
        <v>6</v>
      </c>
      <c r="AH25" s="0" t="n">
        <v>6</v>
      </c>
      <c r="AI25" s="0" t="n">
        <v>22.1</v>
      </c>
      <c r="AJ25" s="0" t="n">
        <v>22.1</v>
      </c>
      <c r="AK25" s="0" t="n">
        <v>22.1</v>
      </c>
      <c r="AL25" s="0" t="n">
        <v>43.974</v>
      </c>
      <c r="AM25" s="0" t="n">
        <v>0</v>
      </c>
      <c r="AN25" s="0" t="n">
        <v>8.6795</v>
      </c>
      <c r="AO25" s="0" t="n">
        <v>4973400</v>
      </c>
      <c r="AP25" s="0" t="n">
        <v>19</v>
      </c>
      <c r="AQ25" s="0" t="n">
        <v>0.57603093833426</v>
      </c>
      <c r="AR25" s="0" t="n">
        <v>0.876767123287671</v>
      </c>
      <c r="AS25" s="0" t="s">
        <v>151</v>
      </c>
      <c r="AT25" s="0" t="s">
        <v>152</v>
      </c>
      <c r="AU25" s="0" t="s">
        <v>153</v>
      </c>
      <c r="AV25" s="0" t="s">
        <v>154</v>
      </c>
      <c r="AW25" s="0" t="s">
        <v>155</v>
      </c>
      <c r="AZ25" s="0" t="n">
        <v>87</v>
      </c>
    </row>
    <row r="26" customFormat="false" ht="15" hidden="false" customHeight="false" outlineLevel="0" collapsed="false">
      <c r="A26" s="0" t="n">
        <v>16.12541</v>
      </c>
      <c r="B26" s="0" t="n">
        <v>16.90006</v>
      </c>
      <c r="C26" s="0" t="n">
        <v>17.03099</v>
      </c>
      <c r="D26" s="0" t="n">
        <v>15.02486</v>
      </c>
      <c r="E26" s="0" t="n">
        <v>16.98904</v>
      </c>
      <c r="F26" s="0" t="n">
        <v>15.77646</v>
      </c>
      <c r="G26" s="0" t="n">
        <v>18.29415</v>
      </c>
      <c r="H26" s="0" t="n">
        <v>15.75437</v>
      </c>
      <c r="I26" s="0" t="n">
        <v>16.41272</v>
      </c>
      <c r="J26" s="0" t="n">
        <v>14.75822</v>
      </c>
      <c r="K26" s="0" t="n">
        <v>17.29572</v>
      </c>
      <c r="L26" s="0" t="n">
        <v>19.41316</v>
      </c>
      <c r="M26" s="0" t="n">
        <v>17.62842</v>
      </c>
      <c r="N26" s="0" t="n">
        <v>15.48671</v>
      </c>
      <c r="O26" s="0" t="n">
        <v>19.30454</v>
      </c>
      <c r="P26" s="0" t="n">
        <v>16.48448</v>
      </c>
      <c r="Q26" s="0" t="n">
        <v>18.06429</v>
      </c>
      <c r="R26" s="0" t="n">
        <v>17.4614</v>
      </c>
      <c r="S26" s="0" t="n">
        <v>16.18397</v>
      </c>
      <c r="T26" s="0" t="n">
        <v>15.61082</v>
      </c>
      <c r="U26" s="0" t="n">
        <v>17.39808</v>
      </c>
      <c r="V26" s="0" t="n">
        <v>15.2811</v>
      </c>
      <c r="W26" s="0" t="n">
        <v>15.6103</v>
      </c>
      <c r="X26" s="0" t="n">
        <v>16.17245</v>
      </c>
      <c r="Y26" s="0" t="n">
        <v>16.9208</v>
      </c>
      <c r="Z26" s="0" t="n">
        <v>15.80577</v>
      </c>
      <c r="AA26" s="0" t="n">
        <v>15.01341</v>
      </c>
      <c r="AF26" s="0" t="n">
        <v>6</v>
      </c>
      <c r="AG26" s="0" t="n">
        <v>6</v>
      </c>
      <c r="AH26" s="0" t="n">
        <v>6</v>
      </c>
      <c r="AI26" s="0" t="n">
        <v>24.8</v>
      </c>
      <c r="AJ26" s="0" t="n">
        <v>24.8</v>
      </c>
      <c r="AK26" s="0" t="n">
        <v>24.8</v>
      </c>
      <c r="AL26" s="0" t="n">
        <v>38.087</v>
      </c>
      <c r="AM26" s="0" t="n">
        <v>0</v>
      </c>
      <c r="AN26" s="0" t="n">
        <v>18.737</v>
      </c>
      <c r="AO26" s="0" t="n">
        <v>6247600</v>
      </c>
      <c r="AP26" s="0" t="n">
        <v>21</v>
      </c>
      <c r="AQ26" s="0" t="n">
        <v>0.504605187706669</v>
      </c>
      <c r="AR26" s="0" t="n">
        <v>0.868307692307692</v>
      </c>
      <c r="AS26" s="0" t="s">
        <v>156</v>
      </c>
      <c r="AT26" s="0" t="s">
        <v>156</v>
      </c>
      <c r="AU26" s="0" t="s">
        <v>157</v>
      </c>
      <c r="AV26" s="0" t="s">
        <v>158</v>
      </c>
      <c r="AW26" s="0" t="s">
        <v>155</v>
      </c>
      <c r="AZ26" s="0" t="n">
        <v>88</v>
      </c>
    </row>
    <row r="27" customFormat="false" ht="15" hidden="false" customHeight="false" outlineLevel="0" collapsed="false">
      <c r="A27" s="0" t="n">
        <v>15.03391</v>
      </c>
      <c r="B27" s="0" t="n">
        <v>16.89676</v>
      </c>
      <c r="C27" s="0" t="n">
        <v>15.35416</v>
      </c>
      <c r="D27" s="0" t="n">
        <v>13.59322</v>
      </c>
      <c r="E27" s="0" t="n">
        <v>16.60091</v>
      </c>
      <c r="F27" s="0" t="n">
        <v>15.79736</v>
      </c>
      <c r="G27" s="0" t="n">
        <v>15.60226</v>
      </c>
      <c r="H27" s="0" t="n">
        <v>16.10928</v>
      </c>
      <c r="I27" s="0" t="n">
        <v>12.14114</v>
      </c>
      <c r="J27" s="0" t="n">
        <v>16.56764</v>
      </c>
      <c r="K27" s="0" t="n">
        <v>17.47359</v>
      </c>
      <c r="L27" s="0" t="n">
        <v>16.26984</v>
      </c>
      <c r="M27" s="0" t="n">
        <v>16.56385</v>
      </c>
      <c r="N27" s="0" t="n">
        <v>15.01899</v>
      </c>
      <c r="O27" s="0" t="n">
        <v>16.38093</v>
      </c>
      <c r="P27" s="0" t="n">
        <v>16.40163</v>
      </c>
      <c r="Q27" s="0" t="n">
        <v>16.85757</v>
      </c>
      <c r="R27" s="0" t="n">
        <v>16.51032</v>
      </c>
      <c r="S27" s="0" t="n">
        <v>16.7349</v>
      </c>
      <c r="T27" s="0" t="n">
        <v>16.10852</v>
      </c>
      <c r="U27" s="0" t="n">
        <v>15.92003</v>
      </c>
      <c r="V27" s="0" t="n">
        <v>16.25344</v>
      </c>
      <c r="W27" s="0" t="n">
        <v>15.77895</v>
      </c>
      <c r="X27" s="0" t="n">
        <v>17.24079</v>
      </c>
      <c r="Y27" s="0" t="n">
        <v>17.32895</v>
      </c>
      <c r="Z27" s="0" t="n">
        <v>15.79847</v>
      </c>
      <c r="AA27" s="0" t="n">
        <v>16.8825</v>
      </c>
      <c r="AF27" s="0" t="n">
        <v>4</v>
      </c>
      <c r="AG27" s="0" t="n">
        <v>4</v>
      </c>
      <c r="AH27" s="0" t="n">
        <v>4</v>
      </c>
      <c r="AI27" s="0" t="n">
        <v>21.2</v>
      </c>
      <c r="AJ27" s="0" t="n">
        <v>21.2</v>
      </c>
      <c r="AK27" s="0" t="n">
        <v>21.2</v>
      </c>
      <c r="AL27" s="0" t="n">
        <v>31.677</v>
      </c>
      <c r="AM27" s="0" t="n">
        <v>0</v>
      </c>
      <c r="AN27" s="0" t="n">
        <v>4.4228</v>
      </c>
      <c r="AO27" s="0" t="n">
        <v>3104800</v>
      </c>
      <c r="AP27" s="0" t="n">
        <v>15</v>
      </c>
      <c r="AQ27" s="0" t="n">
        <v>0.417129838552655</v>
      </c>
      <c r="AR27" s="0" t="n">
        <v>0.889056603773585</v>
      </c>
      <c r="AS27" s="0" t="s">
        <v>159</v>
      </c>
      <c r="AT27" s="0" t="s">
        <v>159</v>
      </c>
      <c r="AU27" s="0" t="s">
        <v>160</v>
      </c>
      <c r="AV27" s="0" t="s">
        <v>161</v>
      </c>
      <c r="AW27" s="0" t="s">
        <v>135</v>
      </c>
      <c r="AZ27" s="0" t="n">
        <v>89</v>
      </c>
    </row>
    <row r="28" customFormat="false" ht="15" hidden="false" customHeight="false" outlineLevel="0" collapsed="false">
      <c r="A28" s="0" t="n">
        <v>16.04367</v>
      </c>
      <c r="B28" s="0" t="n">
        <v>16.79538</v>
      </c>
      <c r="C28" s="0" t="n">
        <v>16.03704</v>
      </c>
      <c r="D28" s="0" t="n">
        <v>14.91625</v>
      </c>
      <c r="E28" s="0" t="n">
        <v>15.95374</v>
      </c>
      <c r="F28" s="0" t="n">
        <v>15.72353</v>
      </c>
      <c r="G28" s="0" t="n">
        <v>16.4533</v>
      </c>
      <c r="H28" s="0" t="n">
        <v>16.57538</v>
      </c>
      <c r="I28" s="0" t="n">
        <v>16.01097</v>
      </c>
      <c r="J28" s="0" t="n">
        <v>15.06214</v>
      </c>
      <c r="K28" s="0" t="n">
        <v>16.56501</v>
      </c>
      <c r="L28" s="0" t="n">
        <v>16.9547</v>
      </c>
      <c r="M28" s="0" t="n">
        <v>16.56139</v>
      </c>
      <c r="N28" s="0" t="n">
        <v>15.62051</v>
      </c>
      <c r="O28" s="0" t="n">
        <v>17.50789</v>
      </c>
      <c r="P28" s="0" t="n">
        <v>17.71196</v>
      </c>
      <c r="Q28" s="0" t="n">
        <v>16.93549</v>
      </c>
      <c r="R28" s="0" t="n">
        <v>16.43788</v>
      </c>
      <c r="S28" s="0" t="n">
        <v>16.52257</v>
      </c>
      <c r="T28" s="0" t="n">
        <v>16.40241</v>
      </c>
      <c r="U28" s="0" t="n">
        <v>15.62827</v>
      </c>
      <c r="V28" s="0" t="n">
        <v>12.58949</v>
      </c>
      <c r="W28" s="0" t="n">
        <v>16.32119</v>
      </c>
      <c r="X28" s="0" t="n">
        <v>17.12212</v>
      </c>
      <c r="Y28" s="0" t="n">
        <v>16.73886</v>
      </c>
      <c r="Z28" s="0" t="n">
        <v>16.22865</v>
      </c>
      <c r="AA28" s="0" t="n">
        <v>18.3413</v>
      </c>
      <c r="AF28" s="0" t="n">
        <v>5</v>
      </c>
      <c r="AG28" s="0" t="n">
        <v>5</v>
      </c>
      <c r="AH28" s="0" t="n">
        <v>5</v>
      </c>
      <c r="AI28" s="0" t="n">
        <v>42.6</v>
      </c>
      <c r="AJ28" s="0" t="n">
        <v>42.6</v>
      </c>
      <c r="AK28" s="0" t="n">
        <v>42.6</v>
      </c>
      <c r="AL28" s="0" t="n">
        <v>21.253</v>
      </c>
      <c r="AM28" s="0" t="n">
        <v>0</v>
      </c>
      <c r="AN28" s="0" t="n">
        <v>4.5837</v>
      </c>
      <c r="AO28" s="0" t="n">
        <v>3549100</v>
      </c>
      <c r="AP28" s="0" t="n">
        <v>10</v>
      </c>
      <c r="AQ28" s="0" t="n">
        <v>0.242963987791644</v>
      </c>
      <c r="AR28" s="0" t="n">
        <v>0.758054054054054</v>
      </c>
      <c r="AS28" s="0" t="s">
        <v>162</v>
      </c>
      <c r="AT28" s="0" t="s">
        <v>163</v>
      </c>
      <c r="AU28" s="0" t="s">
        <v>164</v>
      </c>
      <c r="AV28" s="0" t="s">
        <v>165</v>
      </c>
      <c r="AW28" s="0" t="s">
        <v>87</v>
      </c>
      <c r="AZ28" s="0" t="n">
        <v>91</v>
      </c>
    </row>
    <row r="29" customFormat="false" ht="15" hidden="false" customHeight="false" outlineLevel="0" collapsed="false">
      <c r="A29" s="0" t="n">
        <v>22.21428</v>
      </c>
      <c r="B29" s="0" t="n">
        <v>22.40561</v>
      </c>
      <c r="C29" s="0" t="n">
        <v>22.72013</v>
      </c>
      <c r="D29" s="0" t="n">
        <v>21.51369</v>
      </c>
      <c r="E29" s="0" t="n">
        <v>23.07303</v>
      </c>
      <c r="F29" s="0" t="n">
        <v>23.27498</v>
      </c>
      <c r="G29" s="0" t="n">
        <v>22.08631</v>
      </c>
      <c r="H29" s="0" t="n">
        <v>22.95911</v>
      </c>
      <c r="I29" s="0" t="n">
        <v>22.91322</v>
      </c>
      <c r="J29" s="0" t="n">
        <v>21.46069</v>
      </c>
      <c r="K29" s="0" t="n">
        <v>22.6003</v>
      </c>
      <c r="L29" s="0" t="n">
        <v>22.95395</v>
      </c>
      <c r="M29" s="0" t="n">
        <v>23.96429</v>
      </c>
      <c r="N29" s="0" t="n">
        <v>22.6992</v>
      </c>
      <c r="O29" s="0" t="n">
        <v>21.98812</v>
      </c>
      <c r="P29" s="0" t="n">
        <v>22.71125</v>
      </c>
      <c r="Q29" s="0" t="n">
        <v>22.51735</v>
      </c>
      <c r="R29" s="0" t="n">
        <v>22.76067</v>
      </c>
      <c r="S29" s="0" t="n">
        <v>22.56658</v>
      </c>
      <c r="T29" s="0" t="n">
        <v>22.47764</v>
      </c>
      <c r="U29" s="0" t="n">
        <v>23.24965</v>
      </c>
      <c r="V29" s="0" t="n">
        <v>23.22587</v>
      </c>
      <c r="W29" s="0" t="n">
        <v>21.92636</v>
      </c>
      <c r="X29" s="0" t="n">
        <v>22.54347</v>
      </c>
      <c r="Y29" s="0" t="n">
        <v>22.75664</v>
      </c>
      <c r="Z29" s="0" t="n">
        <v>22.30299</v>
      </c>
      <c r="AA29" s="0" t="n">
        <v>22.73202</v>
      </c>
      <c r="AF29" s="0" t="n">
        <v>44</v>
      </c>
      <c r="AG29" s="0" t="n">
        <v>44</v>
      </c>
      <c r="AH29" s="0" t="n">
        <v>3</v>
      </c>
      <c r="AI29" s="0" t="n">
        <v>56.5</v>
      </c>
      <c r="AJ29" s="0" t="n">
        <v>56.5</v>
      </c>
      <c r="AK29" s="0" t="n">
        <v>5</v>
      </c>
      <c r="AL29" s="0" t="n">
        <v>122.2</v>
      </c>
      <c r="AM29" s="0" t="n">
        <v>0</v>
      </c>
      <c r="AN29" s="0" t="n">
        <v>323.31</v>
      </c>
      <c r="AO29" s="0" t="n">
        <v>271910000</v>
      </c>
      <c r="AP29" s="0" t="n">
        <v>450</v>
      </c>
      <c r="AQ29" s="0" t="n">
        <v>0.749964645869431</v>
      </c>
      <c r="AR29" s="0" t="n">
        <v>0.905274725274725</v>
      </c>
      <c r="AS29" s="0" t="s">
        <v>166</v>
      </c>
      <c r="AT29" s="0" t="s">
        <v>167</v>
      </c>
      <c r="AU29" s="0" t="s">
        <v>168</v>
      </c>
      <c r="AV29" s="0" t="s">
        <v>169</v>
      </c>
      <c r="AW29" s="0" t="s">
        <v>170</v>
      </c>
      <c r="AX29" s="0" t="s">
        <v>171</v>
      </c>
      <c r="AY29" s="0" t="s">
        <v>172</v>
      </c>
      <c r="AZ29" s="0" t="n">
        <v>92</v>
      </c>
    </row>
    <row r="30" customFormat="false" ht="15" hidden="false" customHeight="false" outlineLevel="0" collapsed="false">
      <c r="A30" s="0" t="n">
        <v>20.1893</v>
      </c>
      <c r="B30" s="0" t="n">
        <v>21.1031</v>
      </c>
      <c r="C30" s="0" t="n">
        <v>22.07988</v>
      </c>
      <c r="D30" s="0" t="n">
        <v>20.16103</v>
      </c>
      <c r="E30" s="0" t="n">
        <v>20.12578</v>
      </c>
      <c r="F30" s="0" t="n">
        <v>20.8762</v>
      </c>
      <c r="G30" s="0" t="n">
        <v>20.2948</v>
      </c>
      <c r="H30" s="0" t="n">
        <v>20.96902</v>
      </c>
      <c r="I30" s="0" t="n">
        <v>21.16956</v>
      </c>
      <c r="J30" s="0" t="n">
        <v>21.28726</v>
      </c>
      <c r="K30" s="0" t="n">
        <v>20.71331</v>
      </c>
      <c r="L30" s="0" t="n">
        <v>20.98565</v>
      </c>
      <c r="M30" s="0" t="n">
        <v>20.89711</v>
      </c>
      <c r="N30" s="0" t="n">
        <v>22.28876</v>
      </c>
      <c r="O30" s="0" t="n">
        <v>21.11667</v>
      </c>
      <c r="P30" s="0" t="n">
        <v>20.3705</v>
      </c>
      <c r="Q30" s="0" t="n">
        <v>20.73793</v>
      </c>
      <c r="R30" s="0" t="n">
        <v>21.11642</v>
      </c>
      <c r="S30" s="0" t="n">
        <v>20.67805</v>
      </c>
      <c r="T30" s="0" t="n">
        <v>20.63848</v>
      </c>
      <c r="U30" s="0" t="n">
        <v>21.66371</v>
      </c>
      <c r="V30" s="0" t="n">
        <v>20.97456</v>
      </c>
      <c r="W30" s="0" t="n">
        <v>21.29855</v>
      </c>
      <c r="X30" s="0" t="n">
        <v>21.32036</v>
      </c>
      <c r="Y30" s="0" t="n">
        <v>21.40145</v>
      </c>
      <c r="Z30" s="0" t="n">
        <v>21.31761</v>
      </c>
      <c r="AA30" s="0" t="n">
        <v>21.23199</v>
      </c>
      <c r="AF30" s="0" t="n">
        <v>24</v>
      </c>
      <c r="AG30" s="0" t="n">
        <v>24</v>
      </c>
      <c r="AH30" s="0" t="n">
        <v>24</v>
      </c>
      <c r="AI30" s="0" t="n">
        <v>46.3</v>
      </c>
      <c r="AJ30" s="0" t="n">
        <v>46.3</v>
      </c>
      <c r="AK30" s="0" t="n">
        <v>46.3</v>
      </c>
      <c r="AL30" s="0" t="n">
        <v>70.036</v>
      </c>
      <c r="AM30" s="0" t="n">
        <v>0</v>
      </c>
      <c r="AN30" s="0" t="n">
        <v>215.49</v>
      </c>
      <c r="AO30" s="0" t="n">
        <v>82943000</v>
      </c>
      <c r="AP30" s="0" t="n">
        <v>160</v>
      </c>
      <c r="AQ30" s="0" t="n">
        <v>0.100574598124401</v>
      </c>
      <c r="AR30" s="0" t="n">
        <v>0.659555555555556</v>
      </c>
      <c r="AS30" s="0" t="s">
        <v>173</v>
      </c>
      <c r="AT30" s="0" t="s">
        <v>174</v>
      </c>
      <c r="AU30" s="0" t="s">
        <v>175</v>
      </c>
      <c r="AV30" s="0" t="s">
        <v>176</v>
      </c>
      <c r="AW30" s="0" t="s">
        <v>177</v>
      </c>
      <c r="AX30" s="0" t="n">
        <v>44</v>
      </c>
      <c r="AY30" s="0" t="n">
        <v>585</v>
      </c>
      <c r="AZ30" s="0" t="n">
        <v>93</v>
      </c>
    </row>
    <row r="31" customFormat="false" ht="15" hidden="false" customHeight="false" outlineLevel="0" collapsed="false">
      <c r="A31" s="0" t="n">
        <v>23.58532</v>
      </c>
      <c r="B31" s="0" t="n">
        <v>23.53362</v>
      </c>
      <c r="C31" s="0" t="n">
        <v>23.59651</v>
      </c>
      <c r="D31" s="0" t="n">
        <v>23.84221</v>
      </c>
      <c r="E31" s="0" t="n">
        <v>23.31645</v>
      </c>
      <c r="F31" s="0" t="n">
        <v>22.49644</v>
      </c>
      <c r="G31" s="0" t="n">
        <v>23.87549</v>
      </c>
      <c r="H31" s="0" t="n">
        <v>23.47172</v>
      </c>
      <c r="I31" s="0" t="n">
        <v>23.56221</v>
      </c>
      <c r="J31" s="0" t="n">
        <v>24.53996</v>
      </c>
      <c r="K31" s="0" t="n">
        <v>23.6319</v>
      </c>
      <c r="L31" s="0" t="n">
        <v>24.33525</v>
      </c>
      <c r="M31" s="0" t="n">
        <v>22.97085</v>
      </c>
      <c r="N31" s="0" t="n">
        <v>22.08725</v>
      </c>
      <c r="O31" s="0" t="n">
        <v>23.92678</v>
      </c>
      <c r="P31" s="0" t="n">
        <v>23.96023</v>
      </c>
      <c r="Q31" s="0" t="n">
        <v>22.65456</v>
      </c>
      <c r="R31" s="0" t="n">
        <v>23.7965</v>
      </c>
      <c r="S31" s="0" t="n">
        <v>24.20195</v>
      </c>
      <c r="T31" s="0" t="n">
        <v>23.77113</v>
      </c>
      <c r="U31" s="0" t="n">
        <v>25.8235</v>
      </c>
      <c r="V31" s="0" t="n">
        <v>25.93373</v>
      </c>
      <c r="W31" s="0" t="n">
        <v>23.73624</v>
      </c>
      <c r="X31" s="0" t="n">
        <v>23.6659</v>
      </c>
      <c r="Y31" s="0" t="n">
        <v>24.2292</v>
      </c>
      <c r="Z31" s="0" t="n">
        <v>23.70588</v>
      </c>
      <c r="AA31" s="0" t="n">
        <v>23.50628</v>
      </c>
      <c r="AF31" s="0" t="n">
        <v>27</v>
      </c>
      <c r="AG31" s="0" t="n">
        <v>27</v>
      </c>
      <c r="AH31" s="0" t="n">
        <v>15</v>
      </c>
      <c r="AI31" s="0" t="n">
        <v>64.5</v>
      </c>
      <c r="AJ31" s="0" t="n">
        <v>64.5</v>
      </c>
      <c r="AK31" s="0" t="n">
        <v>44.8</v>
      </c>
      <c r="AL31" s="0" t="n">
        <v>45.205</v>
      </c>
      <c r="AM31" s="0" t="n">
        <v>0</v>
      </c>
      <c r="AN31" s="0" t="n">
        <v>323.31</v>
      </c>
      <c r="AO31" s="0" t="n">
        <v>753740000</v>
      </c>
      <c r="AP31" s="0" t="n">
        <v>624</v>
      </c>
      <c r="AQ31" s="0" t="n">
        <v>0.0349045992974473</v>
      </c>
      <c r="AR31" s="0" t="n">
        <v>0.534</v>
      </c>
      <c r="AS31" s="0" t="s">
        <v>178</v>
      </c>
      <c r="AT31" s="0" t="s">
        <v>179</v>
      </c>
      <c r="AU31" s="0" t="s">
        <v>180</v>
      </c>
      <c r="AV31" s="0" t="s">
        <v>181</v>
      </c>
      <c r="AW31" s="0" t="s">
        <v>182</v>
      </c>
      <c r="AX31" s="0" t="s">
        <v>183</v>
      </c>
      <c r="AY31" s="0" t="s">
        <v>184</v>
      </c>
      <c r="AZ31" s="0" t="n">
        <v>94</v>
      </c>
    </row>
    <row r="32" customFormat="false" ht="15" hidden="false" customHeight="false" outlineLevel="0" collapsed="false">
      <c r="A32" s="0" t="n">
        <v>18.71482</v>
      </c>
      <c r="B32" s="0" t="n">
        <v>18.62325</v>
      </c>
      <c r="C32" s="0" t="n">
        <v>20.45503</v>
      </c>
      <c r="D32" s="0" t="n">
        <v>18.82258</v>
      </c>
      <c r="E32" s="0" t="n">
        <v>18.92164</v>
      </c>
      <c r="F32" s="0" t="n">
        <v>19.92687</v>
      </c>
      <c r="G32" s="0" t="n">
        <v>18.66518</v>
      </c>
      <c r="H32" s="0" t="n">
        <v>19.01789</v>
      </c>
      <c r="I32" s="0" t="n">
        <v>21.06986</v>
      </c>
      <c r="J32" s="0" t="n">
        <v>19.72066</v>
      </c>
      <c r="K32" s="0" t="n">
        <v>18.51368</v>
      </c>
      <c r="L32" s="0" t="n">
        <v>18.14818</v>
      </c>
      <c r="M32" s="0" t="n">
        <v>19.94678</v>
      </c>
      <c r="N32" s="0" t="n">
        <v>19.09244</v>
      </c>
      <c r="O32" s="0" t="n">
        <v>18.1335</v>
      </c>
      <c r="P32" s="0" t="n">
        <v>19.05632</v>
      </c>
      <c r="Q32" s="0" t="n">
        <v>18.76636</v>
      </c>
      <c r="R32" s="0" t="n">
        <v>19.80958</v>
      </c>
      <c r="S32" s="0" t="n">
        <v>19.13611</v>
      </c>
      <c r="T32" s="0" t="n">
        <v>19.81774</v>
      </c>
      <c r="U32" s="0" t="n">
        <v>20.2105</v>
      </c>
      <c r="V32" s="0" t="n">
        <v>18.67097</v>
      </c>
      <c r="W32" s="0" t="n">
        <v>20.26671</v>
      </c>
      <c r="X32" s="0" t="n">
        <v>20.35434</v>
      </c>
      <c r="Y32" s="0" t="n">
        <v>20.16582</v>
      </c>
      <c r="Z32" s="0" t="n">
        <v>20.26408</v>
      </c>
      <c r="AA32" s="0" t="n">
        <v>18.9611</v>
      </c>
      <c r="AF32" s="0" t="n">
        <v>18</v>
      </c>
      <c r="AG32" s="0" t="n">
        <v>6</v>
      </c>
      <c r="AH32" s="0" t="n">
        <v>6</v>
      </c>
      <c r="AI32" s="0" t="n">
        <v>53.7</v>
      </c>
      <c r="AJ32" s="0" t="n">
        <v>28.2</v>
      </c>
      <c r="AK32" s="0" t="n">
        <v>28.2</v>
      </c>
      <c r="AL32" s="0" t="n">
        <v>39.029</v>
      </c>
      <c r="AM32" s="0" t="n">
        <v>0</v>
      </c>
      <c r="AN32" s="0" t="n">
        <v>157.34</v>
      </c>
      <c r="AO32" s="0" t="n">
        <v>27431000</v>
      </c>
      <c r="AP32" s="0" t="n">
        <v>108</v>
      </c>
      <c r="AQ32" s="0" t="n">
        <v>0.11283221287385</v>
      </c>
      <c r="AR32" s="0" t="n">
        <v>0.637523809523809</v>
      </c>
      <c r="AS32" s="0" t="s">
        <v>185</v>
      </c>
      <c r="AT32" s="0" t="s">
        <v>186</v>
      </c>
      <c r="AU32" s="0" t="s">
        <v>187</v>
      </c>
      <c r="AV32" s="0" t="s">
        <v>188</v>
      </c>
      <c r="AW32" s="0" t="s">
        <v>189</v>
      </c>
      <c r="AX32" s="0" t="s">
        <v>190</v>
      </c>
      <c r="AY32" s="0" t="s">
        <v>191</v>
      </c>
      <c r="AZ32" s="0" t="n">
        <v>95</v>
      </c>
    </row>
    <row r="33" customFormat="false" ht="15" hidden="false" customHeight="false" outlineLevel="0" collapsed="false">
      <c r="A33" s="0" t="n">
        <v>16.20409</v>
      </c>
      <c r="B33" s="0" t="n">
        <v>15.35086</v>
      </c>
      <c r="C33" s="0" t="n">
        <v>15.84793</v>
      </c>
      <c r="D33" s="0" t="n">
        <v>16.37081</v>
      </c>
      <c r="E33" s="0" t="n">
        <v>13.62984</v>
      </c>
      <c r="F33" s="0" t="n">
        <v>16.69629</v>
      </c>
      <c r="G33" s="0" t="n">
        <v>17.04666</v>
      </c>
      <c r="H33" s="0" t="n">
        <v>13.78114</v>
      </c>
      <c r="I33" s="0" t="n">
        <v>16.51212</v>
      </c>
      <c r="J33" s="0" t="n">
        <v>16.13515</v>
      </c>
      <c r="K33" s="0" t="n">
        <v>17.20631</v>
      </c>
      <c r="L33" s="0" t="n">
        <v>15.52169</v>
      </c>
      <c r="M33" s="0" t="n">
        <v>13.52408</v>
      </c>
      <c r="N33" s="0" t="n">
        <v>16.63268</v>
      </c>
      <c r="O33" s="0" t="n">
        <v>17.54404</v>
      </c>
      <c r="P33" s="0" t="n">
        <v>14.06327</v>
      </c>
      <c r="Q33" s="0" t="n">
        <v>13.95829</v>
      </c>
      <c r="R33" s="0" t="n">
        <v>13.73779</v>
      </c>
      <c r="S33" s="0" t="n">
        <v>16.69152</v>
      </c>
      <c r="T33" s="0" t="n">
        <v>16.73105</v>
      </c>
      <c r="U33" s="0" t="n">
        <v>17.25276</v>
      </c>
      <c r="V33" s="0" t="n">
        <v>16.57935</v>
      </c>
      <c r="W33" s="0" t="n">
        <v>13.51815</v>
      </c>
      <c r="X33" s="0" t="n">
        <v>17.87622</v>
      </c>
      <c r="Y33" s="0" t="n">
        <v>14.00867</v>
      </c>
      <c r="Z33" s="0" t="n">
        <v>17.57792</v>
      </c>
      <c r="AA33" s="0" t="n">
        <v>16.93226</v>
      </c>
      <c r="AF33" s="0" t="n">
        <v>6</v>
      </c>
      <c r="AG33" s="0" t="n">
        <v>6</v>
      </c>
      <c r="AH33" s="0" t="n">
        <v>6</v>
      </c>
      <c r="AI33" s="0" t="n">
        <v>16.4</v>
      </c>
      <c r="AJ33" s="0" t="n">
        <v>16.4</v>
      </c>
      <c r="AK33" s="0" t="n">
        <v>16.4</v>
      </c>
      <c r="AL33" s="0" t="n">
        <v>54.731</v>
      </c>
      <c r="AM33" s="0" t="n">
        <v>0</v>
      </c>
      <c r="AN33" s="0" t="n">
        <v>11.623</v>
      </c>
      <c r="AO33" s="0" t="n">
        <v>3908000</v>
      </c>
      <c r="AP33" s="0" t="n">
        <v>30</v>
      </c>
      <c r="AQ33" s="0" t="n">
        <v>0.714956114450475</v>
      </c>
      <c r="AR33" s="0" t="n">
        <v>0.914093023255814</v>
      </c>
      <c r="AS33" s="0" t="s">
        <v>192</v>
      </c>
      <c r="AT33" s="0" t="s">
        <v>193</v>
      </c>
      <c r="AU33" s="0" t="s">
        <v>194</v>
      </c>
      <c r="AV33" s="0" t="s">
        <v>195</v>
      </c>
      <c r="AW33" s="0" t="s">
        <v>155</v>
      </c>
      <c r="AZ33" s="0" t="n">
        <v>97</v>
      </c>
    </row>
    <row r="34" customFormat="false" ht="15" hidden="false" customHeight="false" outlineLevel="0" collapsed="false">
      <c r="A34" s="0" t="n">
        <v>20.18689</v>
      </c>
      <c r="B34" s="0" t="n">
        <v>20.28093</v>
      </c>
      <c r="C34" s="0" t="n">
        <v>20.92636</v>
      </c>
      <c r="D34" s="0" t="n">
        <v>21.07274</v>
      </c>
      <c r="E34" s="0" t="n">
        <v>20.99238</v>
      </c>
      <c r="F34" s="0" t="n">
        <v>20.69243</v>
      </c>
      <c r="G34" s="0" t="n">
        <v>20.86423</v>
      </c>
      <c r="H34" s="0" t="n">
        <v>20.9631</v>
      </c>
      <c r="I34" s="0" t="n">
        <v>20.74829</v>
      </c>
      <c r="J34" s="0" t="n">
        <v>20.61935</v>
      </c>
      <c r="K34" s="0" t="n">
        <v>19.59905</v>
      </c>
      <c r="L34" s="0" t="n">
        <v>23.40432</v>
      </c>
      <c r="M34" s="0" t="n">
        <v>21.2577</v>
      </c>
      <c r="N34" s="0" t="n">
        <v>19.00561</v>
      </c>
      <c r="O34" s="0" t="n">
        <v>23.01052</v>
      </c>
      <c r="P34" s="0" t="n">
        <v>20.58893</v>
      </c>
      <c r="Q34" s="0" t="n">
        <v>21.10476</v>
      </c>
      <c r="R34" s="0" t="n">
        <v>20.37888</v>
      </c>
      <c r="S34" s="0" t="n">
        <v>20.76903</v>
      </c>
      <c r="T34" s="0" t="n">
        <v>20.12187</v>
      </c>
      <c r="U34" s="0" t="n">
        <v>21.98905</v>
      </c>
      <c r="V34" s="0" t="n">
        <v>21.27503</v>
      </c>
      <c r="W34" s="0" t="n">
        <v>21.5015</v>
      </c>
      <c r="X34" s="0" t="n">
        <v>21.47001</v>
      </c>
      <c r="Y34" s="0" t="n">
        <v>21.37857</v>
      </c>
      <c r="Z34" s="0" t="n">
        <v>21.37798</v>
      </c>
      <c r="AA34" s="0" t="n">
        <v>21.17792</v>
      </c>
      <c r="AF34" s="0" t="n">
        <v>31</v>
      </c>
      <c r="AG34" s="0" t="n">
        <v>31</v>
      </c>
      <c r="AH34" s="0" t="n">
        <v>30</v>
      </c>
      <c r="AI34" s="0" t="n">
        <v>52.3</v>
      </c>
      <c r="AJ34" s="0" t="n">
        <v>52.3</v>
      </c>
      <c r="AK34" s="0" t="n">
        <v>50.5</v>
      </c>
      <c r="AL34" s="0" t="n">
        <v>90.568</v>
      </c>
      <c r="AM34" s="0" t="n">
        <v>0</v>
      </c>
      <c r="AN34" s="0" t="n">
        <v>323.31</v>
      </c>
      <c r="AO34" s="0" t="n">
        <v>102230000</v>
      </c>
      <c r="AP34" s="0" t="n">
        <v>142</v>
      </c>
      <c r="AQ34" s="0" t="n">
        <v>0.270910880585442</v>
      </c>
      <c r="AR34" s="0" t="n">
        <v>0.7744</v>
      </c>
      <c r="AS34" s="0" t="s">
        <v>196</v>
      </c>
      <c r="AT34" s="0" t="s">
        <v>197</v>
      </c>
      <c r="AU34" s="0" t="s">
        <v>198</v>
      </c>
      <c r="AV34" s="0" t="s">
        <v>199</v>
      </c>
      <c r="AW34" s="0" t="s">
        <v>200</v>
      </c>
      <c r="AX34" s="0" t="s">
        <v>201</v>
      </c>
      <c r="AY34" s="0" t="s">
        <v>202</v>
      </c>
      <c r="AZ34" s="0" t="n">
        <v>98</v>
      </c>
    </row>
    <row r="35" customFormat="false" ht="15" hidden="false" customHeight="false" outlineLevel="0" collapsed="false">
      <c r="A35" s="0" t="n">
        <v>18.3742</v>
      </c>
      <c r="B35" s="0" t="n">
        <v>18.99604</v>
      </c>
      <c r="C35" s="0" t="n">
        <v>15.38323</v>
      </c>
      <c r="D35" s="0" t="n">
        <v>18.3599</v>
      </c>
      <c r="E35" s="0" t="n">
        <v>18.52187</v>
      </c>
      <c r="F35" s="0" t="n">
        <v>17.78788</v>
      </c>
      <c r="G35" s="0" t="n">
        <v>17.03843</v>
      </c>
      <c r="H35" s="0" t="n">
        <v>18.71085</v>
      </c>
      <c r="I35" s="0" t="n">
        <v>17.60292</v>
      </c>
      <c r="J35" s="0" t="n">
        <v>17.43843</v>
      </c>
      <c r="K35" s="0" t="n">
        <v>17.23698</v>
      </c>
      <c r="L35" s="0" t="n">
        <v>16.93192</v>
      </c>
      <c r="M35" s="0" t="n">
        <v>18.57766</v>
      </c>
      <c r="N35" s="0" t="n">
        <v>18.49946</v>
      </c>
      <c r="O35" s="0" t="n">
        <v>16.30804</v>
      </c>
      <c r="P35" s="0" t="n">
        <v>17.86942</v>
      </c>
      <c r="Q35" s="0" t="n">
        <v>19.16271</v>
      </c>
      <c r="R35" s="0" t="n">
        <v>17.81284</v>
      </c>
      <c r="S35" s="0" t="n">
        <v>18.20256</v>
      </c>
      <c r="T35" s="0" t="n">
        <v>17.7714</v>
      </c>
      <c r="U35" s="0" t="n">
        <v>19.23093</v>
      </c>
      <c r="V35" s="0" t="n">
        <v>17.86653</v>
      </c>
      <c r="W35" s="0" t="n">
        <v>18.134</v>
      </c>
      <c r="X35" s="0" t="n">
        <v>19.17809</v>
      </c>
      <c r="Y35" s="0" t="n">
        <v>18.42366</v>
      </c>
      <c r="Z35" s="0" t="n">
        <v>18.63803</v>
      </c>
      <c r="AA35" s="0" t="n">
        <v>19.16391</v>
      </c>
      <c r="AF35" s="0" t="n">
        <v>7</v>
      </c>
      <c r="AG35" s="0" t="n">
        <v>7</v>
      </c>
      <c r="AH35" s="0" t="n">
        <v>7</v>
      </c>
      <c r="AI35" s="0" t="n">
        <v>17.6</v>
      </c>
      <c r="AJ35" s="0" t="n">
        <v>17.6</v>
      </c>
      <c r="AK35" s="0" t="n">
        <v>17.6</v>
      </c>
      <c r="AL35" s="0" t="n">
        <v>67.791</v>
      </c>
      <c r="AM35" s="0" t="n">
        <v>0</v>
      </c>
      <c r="AN35" s="0" t="n">
        <v>68.657</v>
      </c>
      <c r="AO35" s="0" t="n">
        <v>11219000</v>
      </c>
      <c r="AP35" s="0" t="n">
        <v>55</v>
      </c>
      <c r="AQ35" s="0" t="n">
        <v>0.208326277266573</v>
      </c>
      <c r="AR35" s="0" t="n">
        <v>0.686171428571429</v>
      </c>
      <c r="AS35" s="0" t="s">
        <v>203</v>
      </c>
      <c r="AT35" s="0" t="s">
        <v>203</v>
      </c>
      <c r="AU35" s="0" t="s">
        <v>204</v>
      </c>
      <c r="AV35" s="0" t="s">
        <v>205</v>
      </c>
      <c r="AW35" s="0" t="s">
        <v>150</v>
      </c>
      <c r="AZ35" s="0" t="n">
        <v>99</v>
      </c>
    </row>
    <row r="36" customFormat="false" ht="15" hidden="false" customHeight="false" outlineLevel="0" collapsed="false">
      <c r="A36" s="0" t="n">
        <v>20.38469</v>
      </c>
      <c r="B36" s="0" t="n">
        <v>20.34906</v>
      </c>
      <c r="C36" s="0" t="n">
        <v>21.1045</v>
      </c>
      <c r="D36" s="0" t="n">
        <v>20.23888</v>
      </c>
      <c r="E36" s="0" t="n">
        <v>20.6747</v>
      </c>
      <c r="F36" s="0" t="n">
        <v>20.55618</v>
      </c>
      <c r="G36" s="0" t="n">
        <v>20.46971</v>
      </c>
      <c r="H36" s="0" t="n">
        <v>20.87433</v>
      </c>
      <c r="I36" s="0" t="n">
        <v>21.43365</v>
      </c>
      <c r="J36" s="0" t="n">
        <v>20.7376</v>
      </c>
      <c r="K36" s="0" t="n">
        <v>16.87171</v>
      </c>
      <c r="L36" s="0" t="n">
        <v>19.78668</v>
      </c>
      <c r="M36" s="0" t="n">
        <v>20.32828</v>
      </c>
      <c r="N36" s="0" t="n">
        <v>21.94203</v>
      </c>
      <c r="O36" s="0" t="n">
        <v>20.6926</v>
      </c>
      <c r="P36" s="0" t="n">
        <v>20.07169</v>
      </c>
      <c r="Q36" s="0" t="n">
        <v>20.78517</v>
      </c>
      <c r="R36" s="0" t="n">
        <v>20.72509</v>
      </c>
      <c r="S36" s="0" t="n">
        <v>20.64253</v>
      </c>
      <c r="T36" s="0" t="n">
        <v>20.84491</v>
      </c>
      <c r="U36" s="0" t="n">
        <v>21.05019</v>
      </c>
      <c r="V36" s="0" t="n">
        <v>20.47833</v>
      </c>
      <c r="W36" s="0" t="n">
        <v>21.41823</v>
      </c>
      <c r="X36" s="0" t="n">
        <v>20.98545</v>
      </c>
      <c r="Y36" s="0" t="n">
        <v>21.12528</v>
      </c>
      <c r="Z36" s="0" t="n">
        <v>20.94421</v>
      </c>
      <c r="AA36" s="0" t="n">
        <v>20.60277</v>
      </c>
      <c r="AF36" s="0" t="n">
        <v>18</v>
      </c>
      <c r="AG36" s="0" t="n">
        <v>18</v>
      </c>
      <c r="AH36" s="0" t="n">
        <v>18</v>
      </c>
      <c r="AI36" s="0" t="n">
        <v>42.7</v>
      </c>
      <c r="AJ36" s="0" t="n">
        <v>42.7</v>
      </c>
      <c r="AK36" s="0" t="n">
        <v>42.7</v>
      </c>
      <c r="AL36" s="0" t="n">
        <v>52.602</v>
      </c>
      <c r="AM36" s="0" t="n">
        <v>0</v>
      </c>
      <c r="AN36" s="0" t="n">
        <v>112.7</v>
      </c>
      <c r="AO36" s="0" t="n">
        <v>66816000</v>
      </c>
      <c r="AP36" s="0" t="n">
        <v>275</v>
      </c>
      <c r="AQ36" s="0" t="n">
        <v>0.449664737210328</v>
      </c>
      <c r="AR36" s="0" t="n">
        <v>0.870689655172414</v>
      </c>
      <c r="AS36" s="0" t="s">
        <v>206</v>
      </c>
      <c r="AT36" s="0" t="s">
        <v>207</v>
      </c>
      <c r="AU36" s="0" t="s">
        <v>208</v>
      </c>
      <c r="AV36" s="0" t="s">
        <v>209</v>
      </c>
      <c r="AW36" s="0" t="s">
        <v>69</v>
      </c>
      <c r="AX36" s="0" t="s">
        <v>210</v>
      </c>
      <c r="AY36" s="0" t="s">
        <v>211</v>
      </c>
      <c r="AZ36" s="0" t="n">
        <v>100</v>
      </c>
    </row>
    <row r="37" customFormat="false" ht="15" hidden="false" customHeight="false" outlineLevel="0" collapsed="false">
      <c r="A37" s="0" t="n">
        <v>23.89097</v>
      </c>
      <c r="B37" s="0" t="n">
        <v>23.85785</v>
      </c>
      <c r="C37" s="0" t="n">
        <v>23.6826</v>
      </c>
      <c r="D37" s="0" t="n">
        <v>24.42137</v>
      </c>
      <c r="E37" s="0" t="n">
        <v>23.84479</v>
      </c>
      <c r="F37" s="0" t="n">
        <v>24.52486</v>
      </c>
      <c r="G37" s="0" t="n">
        <v>23.16967</v>
      </c>
      <c r="H37" s="0" t="n">
        <v>24.16576</v>
      </c>
      <c r="I37" s="0" t="n">
        <v>24.37716</v>
      </c>
      <c r="J37" s="0" t="n">
        <v>24.56587</v>
      </c>
      <c r="K37" s="0" t="n">
        <v>24.21045</v>
      </c>
      <c r="L37" s="0" t="n">
        <v>23.38232</v>
      </c>
      <c r="M37" s="0" t="n">
        <v>24.58898</v>
      </c>
      <c r="N37" s="0" t="n">
        <v>22.08686</v>
      </c>
      <c r="O37" s="0" t="n">
        <v>23.11775</v>
      </c>
      <c r="P37" s="0" t="n">
        <v>23.32937</v>
      </c>
      <c r="Q37" s="0" t="n">
        <v>24.00779</v>
      </c>
      <c r="R37" s="0" t="n">
        <v>24.02775</v>
      </c>
      <c r="S37" s="0" t="n">
        <v>23.76517</v>
      </c>
      <c r="T37" s="0" t="n">
        <v>23.69869</v>
      </c>
      <c r="U37" s="0" t="n">
        <v>25.17798</v>
      </c>
      <c r="V37" s="0" t="n">
        <v>25.41806</v>
      </c>
      <c r="W37" s="0" t="n">
        <v>24.16928</v>
      </c>
      <c r="X37" s="0" t="n">
        <v>23.9771</v>
      </c>
      <c r="Y37" s="0" t="n">
        <v>24.55104</v>
      </c>
      <c r="Z37" s="0" t="n">
        <v>24.27327</v>
      </c>
      <c r="AA37" s="0" t="n">
        <v>24.03078</v>
      </c>
      <c r="AF37" s="0" t="n">
        <v>25</v>
      </c>
      <c r="AG37" s="0" t="n">
        <v>25</v>
      </c>
      <c r="AH37" s="0" t="n">
        <v>3</v>
      </c>
      <c r="AI37" s="0" t="n">
        <v>58.6</v>
      </c>
      <c r="AJ37" s="0" t="n">
        <v>58.6</v>
      </c>
      <c r="AK37" s="0" t="n">
        <v>5.7</v>
      </c>
      <c r="AL37" s="0" t="n">
        <v>46.736</v>
      </c>
      <c r="AM37" s="0" t="n">
        <v>0</v>
      </c>
      <c r="AN37" s="0" t="n">
        <v>323.31</v>
      </c>
      <c r="AO37" s="0" t="n">
        <v>764300000</v>
      </c>
      <c r="AP37" s="0" t="n">
        <v>1224</v>
      </c>
      <c r="AQ37" s="0" t="n">
        <v>0.0434588178945549</v>
      </c>
      <c r="AR37" s="0" t="n">
        <v>0.480727272727273</v>
      </c>
      <c r="AS37" s="0" t="s">
        <v>212</v>
      </c>
      <c r="AT37" s="0" t="s">
        <v>212</v>
      </c>
      <c r="AU37" s="0" t="s">
        <v>213</v>
      </c>
      <c r="AV37" s="0" t="s">
        <v>214</v>
      </c>
      <c r="AW37" s="0" t="s">
        <v>121</v>
      </c>
      <c r="AX37" s="0" t="s">
        <v>215</v>
      </c>
      <c r="AY37" s="0" t="s">
        <v>216</v>
      </c>
      <c r="AZ37" s="0" t="n">
        <v>101</v>
      </c>
    </row>
    <row r="38" customFormat="false" ht="15" hidden="false" customHeight="false" outlineLevel="0" collapsed="false">
      <c r="A38" s="0" t="n">
        <v>21.24516</v>
      </c>
      <c r="B38" s="0" t="n">
        <v>21.07673</v>
      </c>
      <c r="C38" s="0" t="n">
        <v>21.26917</v>
      </c>
      <c r="D38" s="0" t="n">
        <v>20.79241</v>
      </c>
      <c r="E38" s="0" t="n">
        <v>21.66497</v>
      </c>
      <c r="F38" s="0" t="n">
        <v>21.93002</v>
      </c>
      <c r="G38" s="0" t="n">
        <v>20.56365</v>
      </c>
      <c r="H38" s="0" t="n">
        <v>21.26453</v>
      </c>
      <c r="I38" s="0" t="n">
        <v>21.7866</v>
      </c>
      <c r="J38" s="0" t="n">
        <v>20.97365</v>
      </c>
      <c r="K38" s="0" t="n">
        <v>21.01093</v>
      </c>
      <c r="L38" s="0" t="n">
        <v>20.7679</v>
      </c>
      <c r="M38" s="0" t="n">
        <v>21.75479</v>
      </c>
      <c r="N38" s="0" t="n">
        <v>21.93171</v>
      </c>
      <c r="O38" s="0" t="n">
        <v>20.78437</v>
      </c>
      <c r="P38" s="0" t="n">
        <v>21.26276</v>
      </c>
      <c r="Q38" s="0" t="n">
        <v>21.73855</v>
      </c>
      <c r="R38" s="0" t="n">
        <v>21.51278</v>
      </c>
      <c r="S38" s="0" t="n">
        <v>21.42864</v>
      </c>
      <c r="T38" s="0" t="n">
        <v>21.36586</v>
      </c>
      <c r="U38" s="0" t="n">
        <v>22.48289</v>
      </c>
      <c r="V38" s="0" t="n">
        <v>20.65918</v>
      </c>
      <c r="W38" s="0" t="n">
        <v>21.64852</v>
      </c>
      <c r="X38" s="0" t="n">
        <v>21.4938</v>
      </c>
      <c r="Y38" s="0" t="n">
        <v>22.09552</v>
      </c>
      <c r="Z38" s="0" t="n">
        <v>21.82213</v>
      </c>
      <c r="AA38" s="0" t="n">
        <v>21.22535</v>
      </c>
      <c r="AF38" s="0" t="n">
        <v>16</v>
      </c>
      <c r="AG38" s="0" t="n">
        <v>16</v>
      </c>
      <c r="AH38" s="0" t="n">
        <v>16</v>
      </c>
      <c r="AI38" s="0" t="n">
        <v>41.6</v>
      </c>
      <c r="AJ38" s="0" t="n">
        <v>41.6</v>
      </c>
      <c r="AK38" s="0" t="n">
        <v>41.6</v>
      </c>
      <c r="AL38" s="0" t="n">
        <v>47.65</v>
      </c>
      <c r="AM38" s="0" t="n">
        <v>0</v>
      </c>
      <c r="AN38" s="0" t="n">
        <v>323.31</v>
      </c>
      <c r="AO38" s="0" t="n">
        <v>113060000</v>
      </c>
      <c r="AP38" s="0" t="n">
        <v>300</v>
      </c>
      <c r="AQ38" s="0" t="n">
        <v>0.186166218539244</v>
      </c>
      <c r="AR38" s="0" t="n">
        <v>0.723466666666667</v>
      </c>
      <c r="AS38" s="0" t="s">
        <v>217</v>
      </c>
      <c r="AT38" s="0" t="s">
        <v>218</v>
      </c>
      <c r="AU38" s="0" t="s">
        <v>219</v>
      </c>
      <c r="AV38" s="0" t="s">
        <v>220</v>
      </c>
      <c r="AW38" s="0" t="s">
        <v>110</v>
      </c>
      <c r="AX38" s="0" t="s">
        <v>221</v>
      </c>
      <c r="AY38" s="0" t="s">
        <v>222</v>
      </c>
      <c r="AZ38" s="0" t="n">
        <v>102</v>
      </c>
    </row>
    <row r="39" customFormat="false" ht="15" hidden="false" customHeight="false" outlineLevel="0" collapsed="false">
      <c r="A39" s="0" t="n">
        <v>19.5303</v>
      </c>
      <c r="B39" s="0" t="n">
        <v>19.27646</v>
      </c>
      <c r="C39" s="0" t="n">
        <v>19.43011</v>
      </c>
      <c r="D39" s="0" t="n">
        <v>19.61788</v>
      </c>
      <c r="E39" s="0" t="n">
        <v>20.26442</v>
      </c>
      <c r="F39" s="0" t="n">
        <v>20.31241</v>
      </c>
      <c r="G39" s="0" t="n">
        <v>18.91386</v>
      </c>
      <c r="H39" s="0" t="n">
        <v>18.94941</v>
      </c>
      <c r="I39" s="0" t="n">
        <v>20.05192</v>
      </c>
      <c r="J39" s="0" t="n">
        <v>20.4053</v>
      </c>
      <c r="K39" s="0" t="n">
        <v>20.72966</v>
      </c>
      <c r="L39" s="0" t="n">
        <v>20.16411</v>
      </c>
      <c r="M39" s="0" t="n">
        <v>20.99058</v>
      </c>
      <c r="N39" s="0" t="n">
        <v>20.81925</v>
      </c>
      <c r="O39" s="0" t="n">
        <v>19.3656</v>
      </c>
      <c r="P39" s="0" t="n">
        <v>19.35322</v>
      </c>
      <c r="Q39" s="0" t="n">
        <v>19.96508</v>
      </c>
      <c r="R39" s="0" t="n">
        <v>19.18549</v>
      </c>
      <c r="S39" s="0" t="n">
        <v>19.47937</v>
      </c>
      <c r="T39" s="0" t="n">
        <v>19.79222</v>
      </c>
      <c r="U39" s="0" t="n">
        <v>19.54557</v>
      </c>
      <c r="V39" s="0" t="n">
        <v>19.87048</v>
      </c>
      <c r="W39" s="0" t="n">
        <v>19.72169</v>
      </c>
      <c r="X39" s="0" t="n">
        <v>19.65901</v>
      </c>
      <c r="Y39" s="0" t="n">
        <v>19.74018</v>
      </c>
      <c r="Z39" s="0" t="n">
        <v>19.59689</v>
      </c>
      <c r="AA39" s="0" t="n">
        <v>19.31104</v>
      </c>
      <c r="AF39" s="0" t="n">
        <v>9</v>
      </c>
      <c r="AG39" s="0" t="n">
        <v>9</v>
      </c>
      <c r="AH39" s="0" t="n">
        <v>9</v>
      </c>
      <c r="AI39" s="0" t="n">
        <v>25.2</v>
      </c>
      <c r="AJ39" s="0" t="n">
        <v>25.2</v>
      </c>
      <c r="AK39" s="0" t="n">
        <v>25.2</v>
      </c>
      <c r="AL39" s="0" t="n">
        <v>53.154</v>
      </c>
      <c r="AM39" s="0" t="n">
        <v>0</v>
      </c>
      <c r="AN39" s="0" t="n">
        <v>20.128</v>
      </c>
      <c r="AO39" s="0" t="n">
        <v>35455000</v>
      </c>
      <c r="AP39" s="0" t="n">
        <v>134</v>
      </c>
      <c r="AQ39" s="0" t="n">
        <v>0.404232692600319</v>
      </c>
      <c r="AR39" s="0" t="n">
        <v>0.898745098039216</v>
      </c>
      <c r="AS39" s="0" t="s">
        <v>223</v>
      </c>
      <c r="AT39" s="0" t="s">
        <v>223</v>
      </c>
      <c r="AU39" s="0" t="s">
        <v>224</v>
      </c>
      <c r="AV39" s="0" t="s">
        <v>225</v>
      </c>
      <c r="AW39" s="0" t="s">
        <v>226</v>
      </c>
      <c r="AZ39" s="0" t="n">
        <v>103</v>
      </c>
    </row>
    <row r="40" customFormat="false" ht="15" hidden="false" customHeight="false" outlineLevel="0" collapsed="false">
      <c r="A40" s="0" t="n">
        <v>25.27714</v>
      </c>
      <c r="B40" s="0" t="n">
        <v>24.26928</v>
      </c>
      <c r="C40" s="0" t="n">
        <v>23.98928</v>
      </c>
      <c r="D40" s="0" t="n">
        <v>25.54203</v>
      </c>
      <c r="E40" s="0" t="n">
        <v>25.37196</v>
      </c>
      <c r="F40" s="0" t="n">
        <v>25.4679</v>
      </c>
      <c r="G40" s="0" t="n">
        <v>24.8992</v>
      </c>
      <c r="H40" s="0" t="n">
        <v>25.22085</v>
      </c>
      <c r="I40" s="0" t="n">
        <v>24.7888</v>
      </c>
      <c r="J40" s="0" t="n">
        <v>25.14705</v>
      </c>
      <c r="K40" s="0" t="n">
        <v>23.51881</v>
      </c>
      <c r="L40" s="0" t="n">
        <v>23.90021</v>
      </c>
      <c r="M40" s="0" t="n">
        <v>25.30769</v>
      </c>
      <c r="N40" s="0" t="n">
        <v>25.03695</v>
      </c>
      <c r="O40" s="0" t="n">
        <v>24.44335</v>
      </c>
      <c r="P40" s="0" t="n">
        <v>24.68923</v>
      </c>
      <c r="Q40" s="0" t="n">
        <v>25.35803</v>
      </c>
      <c r="R40" s="0" t="n">
        <v>24.79119</v>
      </c>
      <c r="S40" s="0" t="n">
        <v>24.23513</v>
      </c>
      <c r="T40" s="0" t="n">
        <v>24.35797</v>
      </c>
      <c r="U40" s="0" t="n">
        <v>25.24659</v>
      </c>
      <c r="V40" s="0" t="n">
        <v>24.99239</v>
      </c>
      <c r="W40" s="0" t="n">
        <v>24.63915</v>
      </c>
      <c r="X40" s="0" t="n">
        <v>24.73128</v>
      </c>
      <c r="Y40" s="0" t="n">
        <v>24.93863</v>
      </c>
      <c r="Z40" s="0" t="n">
        <v>25.46712</v>
      </c>
      <c r="AA40" s="0" t="n">
        <v>24.62439</v>
      </c>
      <c r="AF40" s="0" t="n">
        <v>70</v>
      </c>
      <c r="AG40" s="0" t="n">
        <v>70</v>
      </c>
      <c r="AH40" s="0" t="n">
        <v>62</v>
      </c>
      <c r="AI40" s="0" t="n">
        <v>62.5</v>
      </c>
      <c r="AJ40" s="0" t="n">
        <v>62.5</v>
      </c>
      <c r="AK40" s="0" t="n">
        <v>55.8</v>
      </c>
      <c r="AL40" s="0" t="n">
        <v>163.29</v>
      </c>
      <c r="AM40" s="0" t="n">
        <v>0</v>
      </c>
      <c r="AN40" s="0" t="n">
        <v>323.31</v>
      </c>
      <c r="AO40" s="0" t="n">
        <v>1258000000</v>
      </c>
      <c r="AP40" s="0" t="n">
        <v>2037</v>
      </c>
      <c r="AQ40" s="0" t="n">
        <v>0.351036692605931</v>
      </c>
      <c r="AR40" s="0" t="n">
        <v>0.848340425531915</v>
      </c>
      <c r="AS40" s="0" t="s">
        <v>227</v>
      </c>
      <c r="AT40" s="0" t="s">
        <v>228</v>
      </c>
      <c r="AU40" s="0" t="s">
        <v>229</v>
      </c>
      <c r="AV40" s="0" t="s">
        <v>230</v>
      </c>
      <c r="AW40" s="0" t="s">
        <v>231</v>
      </c>
      <c r="AX40" s="0" t="s">
        <v>232</v>
      </c>
      <c r="AY40" s="0" t="s">
        <v>233</v>
      </c>
      <c r="AZ40" s="0" t="n">
        <v>104</v>
      </c>
    </row>
    <row r="41" customFormat="false" ht="15" hidden="false" customHeight="false" outlineLevel="0" collapsed="false">
      <c r="A41" s="0" t="n">
        <v>25.01682</v>
      </c>
      <c r="B41" s="0" t="n">
        <v>24.64169</v>
      </c>
      <c r="C41" s="0" t="n">
        <v>25.23531</v>
      </c>
      <c r="D41" s="0" t="n">
        <v>24.79595</v>
      </c>
      <c r="E41" s="0" t="n">
        <v>25.22781</v>
      </c>
      <c r="F41" s="0" t="n">
        <v>24.70097</v>
      </c>
      <c r="G41" s="0" t="n">
        <v>24.49521</v>
      </c>
      <c r="H41" s="0" t="n">
        <v>25.09511</v>
      </c>
      <c r="I41" s="0" t="n">
        <v>25.12364</v>
      </c>
      <c r="J41" s="0" t="n">
        <v>24.98763</v>
      </c>
      <c r="K41" s="0" t="n">
        <v>24.57259</v>
      </c>
      <c r="L41" s="0" t="n">
        <v>24.32457</v>
      </c>
      <c r="M41" s="0" t="n">
        <v>25.19746</v>
      </c>
      <c r="N41" s="0" t="n">
        <v>24.90196</v>
      </c>
      <c r="O41" s="0" t="n">
        <v>24.38745</v>
      </c>
      <c r="P41" s="0" t="n">
        <v>24.88274</v>
      </c>
      <c r="Q41" s="0" t="n">
        <v>25.09362</v>
      </c>
      <c r="R41" s="0" t="n">
        <v>24.92918</v>
      </c>
      <c r="S41" s="0" t="n">
        <v>25.27909</v>
      </c>
      <c r="T41" s="0" t="n">
        <v>24.82046</v>
      </c>
      <c r="U41" s="0" t="n">
        <v>25.59898</v>
      </c>
      <c r="V41" s="0" t="n">
        <v>25.08091</v>
      </c>
      <c r="W41" s="0" t="n">
        <v>24.88409</v>
      </c>
      <c r="X41" s="0" t="n">
        <v>24.8715</v>
      </c>
      <c r="Y41" s="0" t="n">
        <v>25.01423</v>
      </c>
      <c r="Z41" s="0" t="n">
        <v>25.22839</v>
      </c>
      <c r="AA41" s="0" t="n">
        <v>25.51746</v>
      </c>
      <c r="AF41" s="0" t="n">
        <v>99</v>
      </c>
      <c r="AG41" s="0" t="n">
        <v>99</v>
      </c>
      <c r="AH41" s="0" t="n">
        <v>91</v>
      </c>
      <c r="AI41" s="0" t="n">
        <v>70.4</v>
      </c>
      <c r="AJ41" s="0" t="n">
        <v>70.4</v>
      </c>
      <c r="AK41" s="0" t="n">
        <v>66.9</v>
      </c>
      <c r="AL41" s="0" t="n">
        <v>187.15</v>
      </c>
      <c r="AM41" s="0" t="n">
        <v>0</v>
      </c>
      <c r="AN41" s="0" t="n">
        <v>323.31</v>
      </c>
      <c r="AO41" s="0" t="n">
        <v>1315900000</v>
      </c>
      <c r="AP41" s="0" t="n">
        <v>2613</v>
      </c>
      <c r="AQ41" s="0" t="n">
        <v>0.263065180296817</v>
      </c>
      <c r="AR41" s="0" t="n">
        <v>0.792842105263158</v>
      </c>
      <c r="AS41" s="0" t="s">
        <v>234</v>
      </c>
      <c r="AT41" s="0" t="s">
        <v>235</v>
      </c>
      <c r="AU41" s="0" t="s">
        <v>236</v>
      </c>
      <c r="AV41" s="0" t="s">
        <v>237</v>
      </c>
      <c r="AW41" s="0" t="s">
        <v>238</v>
      </c>
      <c r="AX41" s="0" t="s">
        <v>239</v>
      </c>
      <c r="AY41" s="0" t="s">
        <v>240</v>
      </c>
      <c r="AZ41" s="0" t="n">
        <v>105</v>
      </c>
    </row>
    <row r="42" customFormat="false" ht="15" hidden="false" customHeight="false" outlineLevel="0" collapsed="false">
      <c r="A42" s="0" t="n">
        <v>19.02553</v>
      </c>
      <c r="B42" s="0" t="n">
        <v>19.2012</v>
      </c>
      <c r="C42" s="0" t="n">
        <v>17.84365</v>
      </c>
      <c r="D42" s="0" t="n">
        <v>18.89492</v>
      </c>
      <c r="E42" s="0" t="n">
        <v>19.85707</v>
      </c>
      <c r="F42" s="0" t="n">
        <v>20.1706</v>
      </c>
      <c r="G42" s="0" t="n">
        <v>19.03424</v>
      </c>
      <c r="H42" s="0" t="n">
        <v>19.72883</v>
      </c>
      <c r="I42" s="0" t="n">
        <v>19.50967</v>
      </c>
      <c r="J42" s="0" t="n">
        <v>20.01958</v>
      </c>
      <c r="K42" s="0" t="n">
        <v>16.8541</v>
      </c>
      <c r="L42" s="0" t="n">
        <v>18.52631</v>
      </c>
      <c r="M42" s="0" t="n">
        <v>20.16938</v>
      </c>
      <c r="N42" s="0" t="n">
        <v>19.98371</v>
      </c>
      <c r="O42" s="0" t="n">
        <v>19.61477</v>
      </c>
      <c r="P42" s="0" t="n">
        <v>19.36899</v>
      </c>
      <c r="Q42" s="0" t="n">
        <v>19.32312</v>
      </c>
      <c r="R42" s="0" t="n">
        <v>18.89871</v>
      </c>
      <c r="S42" s="0" t="n">
        <v>19.33152</v>
      </c>
      <c r="T42" s="0" t="n">
        <v>19.48146</v>
      </c>
      <c r="U42" s="0" t="n">
        <v>19.81856</v>
      </c>
      <c r="V42" s="0" t="n">
        <v>19.05582</v>
      </c>
      <c r="W42" s="0" t="n">
        <v>19.56306</v>
      </c>
      <c r="X42" s="0" t="n">
        <v>18.63282</v>
      </c>
      <c r="Y42" s="0" t="n">
        <v>20.31374</v>
      </c>
      <c r="Z42" s="0" t="n">
        <v>19.36828</v>
      </c>
      <c r="AA42" s="0" t="n">
        <v>19.98982</v>
      </c>
      <c r="AF42" s="0" t="n">
        <v>28</v>
      </c>
      <c r="AG42" s="0" t="n">
        <v>28</v>
      </c>
      <c r="AH42" s="0" t="n">
        <v>28</v>
      </c>
      <c r="AI42" s="0" t="n">
        <v>26</v>
      </c>
      <c r="AJ42" s="0" t="n">
        <v>26</v>
      </c>
      <c r="AK42" s="0" t="n">
        <v>26</v>
      </c>
      <c r="AL42" s="0" t="n">
        <v>188.3</v>
      </c>
      <c r="AM42" s="0" t="n">
        <v>0</v>
      </c>
      <c r="AN42" s="0" t="n">
        <v>42.576</v>
      </c>
      <c r="AO42" s="0" t="n">
        <v>26878000</v>
      </c>
      <c r="AP42" s="0" t="n">
        <v>83</v>
      </c>
      <c r="AQ42" s="0" t="n">
        <v>0.773402385273115</v>
      </c>
      <c r="AR42" s="0" t="n">
        <v>0.92004347826087</v>
      </c>
      <c r="AS42" s="0" t="s">
        <v>241</v>
      </c>
      <c r="AT42" s="0" t="s">
        <v>242</v>
      </c>
      <c r="AU42" s="0" t="s">
        <v>243</v>
      </c>
      <c r="AV42" s="0" t="s">
        <v>244</v>
      </c>
      <c r="AW42" s="0" t="s">
        <v>245</v>
      </c>
      <c r="AZ42" s="0" t="n">
        <v>106</v>
      </c>
    </row>
    <row r="43" customFormat="false" ht="15" hidden="false" customHeight="false" outlineLevel="0" collapsed="false">
      <c r="A43" s="0" t="n">
        <v>20.54246</v>
      </c>
      <c r="B43" s="0" t="n">
        <v>20.40686</v>
      </c>
      <c r="C43" s="0" t="n">
        <v>21.06789</v>
      </c>
      <c r="D43" s="0" t="n">
        <v>20.84506</v>
      </c>
      <c r="E43" s="0" t="n">
        <v>21.19003</v>
      </c>
      <c r="F43" s="0" t="n">
        <v>21.0034</v>
      </c>
      <c r="G43" s="0" t="n">
        <v>21.07829</v>
      </c>
      <c r="H43" s="0" t="n">
        <v>20.59314</v>
      </c>
      <c r="I43" s="0" t="n">
        <v>20.35132</v>
      </c>
      <c r="J43" s="0" t="n">
        <v>21.07437</v>
      </c>
      <c r="K43" s="0" t="n">
        <v>20.7437</v>
      </c>
      <c r="L43" s="0" t="n">
        <v>21.42209</v>
      </c>
      <c r="M43" s="0" t="n">
        <v>20.89067</v>
      </c>
      <c r="N43" s="0" t="n">
        <v>22.89628</v>
      </c>
      <c r="O43" s="0" t="n">
        <v>21.43919</v>
      </c>
      <c r="P43" s="0" t="n">
        <v>20.3978</v>
      </c>
      <c r="Q43" s="0" t="n">
        <v>20.70083</v>
      </c>
      <c r="R43" s="0" t="n">
        <v>20.19629</v>
      </c>
      <c r="S43" s="0" t="n">
        <v>20.43665</v>
      </c>
      <c r="T43" s="0" t="n">
        <v>21.03322</v>
      </c>
      <c r="U43" s="0" t="n">
        <v>20.58756</v>
      </c>
      <c r="V43" s="0" t="n">
        <v>20.02972</v>
      </c>
      <c r="W43" s="0" t="n">
        <v>20.87912</v>
      </c>
      <c r="X43" s="0" t="n">
        <v>20.68398</v>
      </c>
      <c r="Y43" s="0" t="n">
        <v>20.66232</v>
      </c>
      <c r="Z43" s="0" t="n">
        <v>20.83445</v>
      </c>
      <c r="AA43" s="0" t="n">
        <v>20.64456</v>
      </c>
      <c r="AF43" s="0" t="n">
        <v>16</v>
      </c>
      <c r="AG43" s="0" t="n">
        <v>16</v>
      </c>
      <c r="AH43" s="0" t="n">
        <v>16</v>
      </c>
      <c r="AI43" s="0" t="n">
        <v>31.1</v>
      </c>
      <c r="AJ43" s="0" t="n">
        <v>31.1</v>
      </c>
      <c r="AK43" s="0" t="n">
        <v>31.1</v>
      </c>
      <c r="AL43" s="0" t="n">
        <v>71.957</v>
      </c>
      <c r="AM43" s="0" t="n">
        <v>0</v>
      </c>
      <c r="AN43" s="0" t="n">
        <v>90.724</v>
      </c>
      <c r="AO43" s="0" t="n">
        <v>73958000</v>
      </c>
      <c r="AP43" s="0" t="n">
        <v>134</v>
      </c>
      <c r="AQ43" s="0" t="n">
        <v>0.496370922349719</v>
      </c>
      <c r="AR43" s="0" t="n">
        <v>0.869125</v>
      </c>
      <c r="AS43" s="0" t="s">
        <v>246</v>
      </c>
      <c r="AT43" s="0" t="s">
        <v>247</v>
      </c>
      <c r="AU43" s="0" t="s">
        <v>248</v>
      </c>
      <c r="AV43" s="0" t="s">
        <v>249</v>
      </c>
      <c r="AW43" s="0" t="s">
        <v>110</v>
      </c>
      <c r="AZ43" s="0" t="n">
        <v>107</v>
      </c>
    </row>
    <row r="44" customFormat="false" ht="15" hidden="false" customHeight="false" outlineLevel="0" collapsed="false">
      <c r="A44" s="0" t="n">
        <v>22.70068</v>
      </c>
      <c r="B44" s="0" t="n">
        <v>21.59541</v>
      </c>
      <c r="C44" s="0" t="n">
        <v>21.62912</v>
      </c>
      <c r="D44" s="0" t="n">
        <v>21.33107</v>
      </c>
      <c r="E44" s="0" t="n">
        <v>22.13486</v>
      </c>
      <c r="F44" s="0" t="n">
        <v>23.328</v>
      </c>
      <c r="G44" s="0" t="n">
        <v>21.96965</v>
      </c>
      <c r="H44" s="0" t="n">
        <v>22.10913</v>
      </c>
      <c r="I44" s="0" t="n">
        <v>22.57008</v>
      </c>
      <c r="J44" s="0" t="n">
        <v>22.52485</v>
      </c>
      <c r="K44" s="0" t="n">
        <v>21.93966</v>
      </c>
      <c r="L44" s="0" t="n">
        <v>21.22282</v>
      </c>
      <c r="M44" s="0" t="n">
        <v>22.12553</v>
      </c>
      <c r="N44" s="0" t="n">
        <v>23.70398</v>
      </c>
      <c r="O44" s="0" t="n">
        <v>22.16205</v>
      </c>
      <c r="P44" s="0" t="n">
        <v>22.38903</v>
      </c>
      <c r="Q44" s="0" t="n">
        <v>22.26106</v>
      </c>
      <c r="R44" s="0" t="n">
        <v>21.91681</v>
      </c>
      <c r="S44" s="0" t="n">
        <v>21.98252</v>
      </c>
      <c r="T44" s="0" t="n">
        <v>23.33456</v>
      </c>
      <c r="U44" s="0" t="n">
        <v>22.32031</v>
      </c>
      <c r="V44" s="0" t="n">
        <v>22.92072</v>
      </c>
      <c r="W44" s="0" t="n">
        <v>21.9545</v>
      </c>
      <c r="X44" s="0" t="n">
        <v>22.14046</v>
      </c>
      <c r="Y44" s="0" t="n">
        <v>22.18386</v>
      </c>
      <c r="Z44" s="0" t="n">
        <v>22.54442</v>
      </c>
      <c r="AA44" s="0" t="n">
        <v>21.9369</v>
      </c>
      <c r="AF44" s="0" t="n">
        <v>6</v>
      </c>
      <c r="AG44" s="0" t="n">
        <v>6</v>
      </c>
      <c r="AH44" s="0" t="n">
        <v>6</v>
      </c>
      <c r="AI44" s="0" t="n">
        <v>79.4</v>
      </c>
      <c r="AJ44" s="0" t="n">
        <v>79.4</v>
      </c>
      <c r="AK44" s="0" t="n">
        <v>79.4</v>
      </c>
      <c r="AL44" s="0" t="n">
        <v>11.765</v>
      </c>
      <c r="AM44" s="0" t="n">
        <v>0</v>
      </c>
      <c r="AN44" s="0" t="n">
        <v>323.31</v>
      </c>
      <c r="AO44" s="0" t="n">
        <v>216740000</v>
      </c>
      <c r="AP44" s="0" t="n">
        <v>440</v>
      </c>
      <c r="AQ44" s="0" t="n">
        <v>0.683696226713998</v>
      </c>
      <c r="AR44" s="0" t="n">
        <v>0.906409638554217</v>
      </c>
      <c r="AS44" s="0" t="s">
        <v>250</v>
      </c>
      <c r="AT44" s="0" t="s">
        <v>250</v>
      </c>
      <c r="AU44" s="0" t="s">
        <v>251</v>
      </c>
      <c r="AV44" s="0" t="s">
        <v>252</v>
      </c>
      <c r="AW44" s="0" t="s">
        <v>155</v>
      </c>
      <c r="AZ44" s="0" t="n">
        <v>119</v>
      </c>
    </row>
    <row r="45" customFormat="false" ht="15" hidden="false" customHeight="false" outlineLevel="0" collapsed="false">
      <c r="A45" s="0" t="n">
        <v>23.0731</v>
      </c>
      <c r="B45" s="0" t="n">
        <v>22.89008</v>
      </c>
      <c r="C45" s="0" t="n">
        <v>21.99009</v>
      </c>
      <c r="D45" s="0" t="n">
        <v>22.39011</v>
      </c>
      <c r="E45" s="0" t="n">
        <v>23.16099</v>
      </c>
      <c r="F45" s="0" t="n">
        <v>24.56982</v>
      </c>
      <c r="G45" s="0" t="n">
        <v>23.38706</v>
      </c>
      <c r="H45" s="0" t="n">
        <v>22.87564</v>
      </c>
      <c r="I45" s="0" t="n">
        <v>23.12002</v>
      </c>
      <c r="J45" s="0" t="n">
        <v>24.16576</v>
      </c>
      <c r="K45" s="0" t="n">
        <v>22.72526</v>
      </c>
      <c r="L45" s="0" t="n">
        <v>23.18681</v>
      </c>
      <c r="M45" s="0" t="n">
        <v>22.96342</v>
      </c>
      <c r="N45" s="0" t="n">
        <v>24.82614</v>
      </c>
      <c r="O45" s="0" t="n">
        <v>23.77896</v>
      </c>
      <c r="P45" s="0" t="n">
        <v>23.44316</v>
      </c>
      <c r="Q45" s="0" t="n">
        <v>23.01081</v>
      </c>
      <c r="R45" s="0" t="n">
        <v>23.14327</v>
      </c>
      <c r="S45" s="0" t="n">
        <v>22.73103</v>
      </c>
      <c r="T45" s="0" t="n">
        <v>24.21571</v>
      </c>
      <c r="U45" s="0" t="n">
        <v>24.48763</v>
      </c>
      <c r="V45" s="0" t="n">
        <v>22.48075</v>
      </c>
      <c r="W45" s="0" t="n">
        <v>22.89671</v>
      </c>
      <c r="X45" s="0" t="n">
        <v>23.13146</v>
      </c>
      <c r="Y45" s="0" t="n">
        <v>23.21211</v>
      </c>
      <c r="Z45" s="0" t="n">
        <v>23.69487</v>
      </c>
      <c r="AA45" s="0" t="n">
        <v>23.14436</v>
      </c>
      <c r="AF45" s="0" t="n">
        <v>16</v>
      </c>
      <c r="AG45" s="0" t="n">
        <v>16</v>
      </c>
      <c r="AH45" s="0" t="n">
        <v>6</v>
      </c>
      <c r="AI45" s="0" t="n">
        <v>60.6</v>
      </c>
      <c r="AJ45" s="0" t="n">
        <v>60.6</v>
      </c>
      <c r="AK45" s="0" t="n">
        <v>27.8</v>
      </c>
      <c r="AL45" s="0" t="n">
        <v>37.654</v>
      </c>
      <c r="AM45" s="0" t="n">
        <v>0</v>
      </c>
      <c r="AN45" s="0" t="n">
        <v>323.31</v>
      </c>
      <c r="AO45" s="0" t="n">
        <v>474490000</v>
      </c>
      <c r="AP45" s="0" t="n">
        <v>421</v>
      </c>
      <c r="AQ45" s="0" t="n">
        <v>0.609393496860631</v>
      </c>
      <c r="AR45" s="0" t="n">
        <v>0.890473684210526</v>
      </c>
      <c r="AS45" s="0" t="s">
        <v>253</v>
      </c>
      <c r="AT45" s="0" t="s">
        <v>253</v>
      </c>
      <c r="AU45" s="0" t="s">
        <v>254</v>
      </c>
      <c r="AV45" s="0" t="s">
        <v>255</v>
      </c>
      <c r="AW45" s="0" t="s">
        <v>110</v>
      </c>
      <c r="AX45" s="0" t="n">
        <v>11</v>
      </c>
      <c r="AY45" s="0" t="n">
        <v>314</v>
      </c>
      <c r="AZ45" s="0" t="n">
        <v>120</v>
      </c>
    </row>
    <row r="46" customFormat="false" ht="15" hidden="false" customHeight="false" outlineLevel="0" collapsed="false">
      <c r="A46" s="0" t="n">
        <v>24.96596</v>
      </c>
      <c r="B46" s="0" t="n">
        <v>24.09901</v>
      </c>
      <c r="C46" s="0" t="n">
        <v>24.81924</v>
      </c>
      <c r="D46" s="0" t="n">
        <v>24.01657</v>
      </c>
      <c r="E46" s="0" t="n">
        <v>24.51653</v>
      </c>
      <c r="F46" s="0" t="n">
        <v>24.61116</v>
      </c>
      <c r="G46" s="0" t="n">
        <v>24.2832</v>
      </c>
      <c r="H46" s="0" t="n">
        <v>24.3041</v>
      </c>
      <c r="I46" s="0" t="n">
        <v>24.93233</v>
      </c>
      <c r="J46" s="0" t="n">
        <v>24.19551</v>
      </c>
      <c r="K46" s="0" t="n">
        <v>24.56877</v>
      </c>
      <c r="L46" s="0" t="n">
        <v>24.19302</v>
      </c>
      <c r="M46" s="0" t="n">
        <v>24.11854</v>
      </c>
      <c r="N46" s="0" t="n">
        <v>25.18854</v>
      </c>
      <c r="O46" s="0" t="n">
        <v>24.19528</v>
      </c>
      <c r="P46" s="0" t="n">
        <v>23.91296</v>
      </c>
      <c r="Q46" s="0" t="n">
        <v>24.25335</v>
      </c>
      <c r="R46" s="0" t="n">
        <v>24.36713</v>
      </c>
      <c r="S46" s="0" t="n">
        <v>24.21756</v>
      </c>
      <c r="T46" s="0" t="n">
        <v>24.19272</v>
      </c>
      <c r="U46" s="0" t="n">
        <v>23.76871</v>
      </c>
      <c r="V46" s="0" t="n">
        <v>24.34449</v>
      </c>
      <c r="W46" s="0" t="n">
        <v>24.08221</v>
      </c>
      <c r="X46" s="0" t="n">
        <v>24.13156</v>
      </c>
      <c r="Y46" s="0" t="n">
        <v>23.34597</v>
      </c>
      <c r="Z46" s="0" t="n">
        <v>24.21334</v>
      </c>
      <c r="AA46" s="0" t="n">
        <v>23.49558</v>
      </c>
      <c r="AF46" s="0" t="n">
        <v>28</v>
      </c>
      <c r="AG46" s="0" t="n">
        <v>28</v>
      </c>
      <c r="AH46" s="0" t="n">
        <v>27</v>
      </c>
      <c r="AI46" s="0" t="n">
        <v>77.9</v>
      </c>
      <c r="AJ46" s="0" t="n">
        <v>77.9</v>
      </c>
      <c r="AK46" s="0" t="n">
        <v>77.9</v>
      </c>
      <c r="AL46" s="0" t="n">
        <v>30.777</v>
      </c>
      <c r="AM46" s="0" t="n">
        <v>0</v>
      </c>
      <c r="AN46" s="0" t="n">
        <v>323.31</v>
      </c>
      <c r="AO46" s="0" t="n">
        <v>813230000</v>
      </c>
      <c r="AP46" s="0" t="n">
        <v>619</v>
      </c>
      <c r="AQ46" s="0" t="n">
        <v>0.049939150544353</v>
      </c>
      <c r="AR46" s="0" t="n">
        <v>0.501666666666667</v>
      </c>
      <c r="AS46" s="0" t="s">
        <v>256</v>
      </c>
      <c r="AT46" s="0" t="s">
        <v>256</v>
      </c>
      <c r="AU46" s="0" t="s">
        <v>257</v>
      </c>
      <c r="AV46" s="0" t="s">
        <v>258</v>
      </c>
      <c r="AW46" s="0" t="s">
        <v>245</v>
      </c>
      <c r="AX46" s="0" t="s">
        <v>259</v>
      </c>
      <c r="AY46" s="0" t="s">
        <v>260</v>
      </c>
      <c r="AZ46" s="0" t="n">
        <v>122</v>
      </c>
    </row>
    <row r="47" customFormat="false" ht="15" hidden="false" customHeight="false" outlineLevel="0" collapsed="false">
      <c r="A47" s="0" t="n">
        <v>18.31504</v>
      </c>
      <c r="B47" s="0" t="n">
        <v>20.07783</v>
      </c>
      <c r="C47" s="0" t="n">
        <v>17.49966</v>
      </c>
      <c r="D47" s="0" t="n">
        <v>19.1559</v>
      </c>
      <c r="E47" s="0" t="n">
        <v>18.97656</v>
      </c>
      <c r="F47" s="0" t="n">
        <v>19.77685</v>
      </c>
      <c r="G47" s="0" t="n">
        <v>20.19304</v>
      </c>
      <c r="H47" s="0" t="n">
        <v>18.53165</v>
      </c>
      <c r="I47" s="0" t="n">
        <v>18.81193</v>
      </c>
      <c r="J47" s="0" t="n">
        <v>19.28326</v>
      </c>
      <c r="K47" s="0" t="n">
        <v>16.58548</v>
      </c>
      <c r="L47" s="0" t="n">
        <v>20.17499</v>
      </c>
      <c r="M47" s="0" t="n">
        <v>17.88626</v>
      </c>
      <c r="N47" s="0" t="n">
        <v>18.7341</v>
      </c>
      <c r="O47" s="0" t="n">
        <v>20.98447</v>
      </c>
      <c r="P47" s="0" t="n">
        <v>18.23776</v>
      </c>
      <c r="Q47" s="0" t="n">
        <v>20.44748</v>
      </c>
      <c r="R47" s="0" t="n">
        <v>18.49306</v>
      </c>
      <c r="S47" s="0" t="n">
        <v>18.92486</v>
      </c>
      <c r="T47" s="0" t="n">
        <v>18.23271</v>
      </c>
      <c r="U47" s="0" t="n">
        <v>19.20034</v>
      </c>
      <c r="V47" s="0" t="n">
        <v>19.44569</v>
      </c>
      <c r="W47" s="0" t="n">
        <v>17.71579</v>
      </c>
      <c r="X47" s="0" t="n">
        <v>18.41468</v>
      </c>
      <c r="Y47" s="0" t="n">
        <v>17.66456</v>
      </c>
      <c r="Z47" s="0" t="n">
        <v>18.62053</v>
      </c>
      <c r="AA47" s="0" t="n">
        <v>19.04634</v>
      </c>
      <c r="AF47" s="0" t="n">
        <v>12</v>
      </c>
      <c r="AG47" s="0" t="n">
        <v>12</v>
      </c>
      <c r="AH47" s="0" t="n">
        <v>12</v>
      </c>
      <c r="AI47" s="0" t="n">
        <v>47.3</v>
      </c>
      <c r="AJ47" s="0" t="n">
        <v>47.3</v>
      </c>
      <c r="AK47" s="0" t="n">
        <v>47.3</v>
      </c>
      <c r="AL47" s="0" t="n">
        <v>36.154</v>
      </c>
      <c r="AM47" s="0" t="n">
        <v>0</v>
      </c>
      <c r="AN47" s="0" t="n">
        <v>225.09</v>
      </c>
      <c r="AO47" s="0" t="n">
        <v>24472000</v>
      </c>
      <c r="AP47" s="0" t="n">
        <v>69</v>
      </c>
      <c r="AQ47" s="0" t="n">
        <v>0.555130757156701</v>
      </c>
      <c r="AR47" s="0" t="n">
        <v>0.870140845070423</v>
      </c>
      <c r="AS47" s="0" t="s">
        <v>261</v>
      </c>
      <c r="AT47" s="0" t="s">
        <v>262</v>
      </c>
      <c r="AU47" s="0" t="s">
        <v>263</v>
      </c>
      <c r="AV47" s="0" t="s">
        <v>264</v>
      </c>
      <c r="AW47" s="0" t="s">
        <v>140</v>
      </c>
      <c r="AX47" s="0" t="n">
        <v>76</v>
      </c>
      <c r="AY47" s="0" t="n">
        <v>126</v>
      </c>
      <c r="AZ47" s="0" t="n">
        <v>123</v>
      </c>
    </row>
    <row r="48" customFormat="false" ht="15" hidden="false" customHeight="false" outlineLevel="0" collapsed="false">
      <c r="A48" s="0" t="n">
        <v>22.98031</v>
      </c>
      <c r="B48" s="0" t="n">
        <v>21.90709</v>
      </c>
      <c r="C48" s="0" t="n">
        <v>24.07006</v>
      </c>
      <c r="D48" s="0" t="n">
        <v>23.03159</v>
      </c>
      <c r="E48" s="0" t="n">
        <v>23.10642</v>
      </c>
      <c r="F48" s="0" t="n">
        <v>22.70571</v>
      </c>
      <c r="G48" s="0" t="n">
        <v>23.16249</v>
      </c>
      <c r="H48" s="0" t="n">
        <v>22.8304</v>
      </c>
      <c r="I48" s="0" t="n">
        <v>22.5763</v>
      </c>
      <c r="J48" s="0" t="n">
        <v>21.65949</v>
      </c>
      <c r="K48" s="0" t="n">
        <v>19.82833</v>
      </c>
      <c r="L48" s="0" t="n">
        <v>19.97113</v>
      </c>
      <c r="M48" s="0" t="n">
        <v>22.89754</v>
      </c>
      <c r="N48" s="0" t="n">
        <v>23.34001</v>
      </c>
      <c r="O48" s="0" t="n">
        <v>22.03043</v>
      </c>
      <c r="P48" s="0" t="n">
        <v>22.29972</v>
      </c>
      <c r="Q48" s="0" t="n">
        <v>22.97661</v>
      </c>
      <c r="R48" s="0" t="n">
        <v>23.45864</v>
      </c>
      <c r="S48" s="0" t="n">
        <v>21.62489</v>
      </c>
      <c r="T48" s="0" t="n">
        <v>23.34692</v>
      </c>
      <c r="U48" s="0" t="n">
        <v>20.93524</v>
      </c>
      <c r="V48" s="0" t="n">
        <v>19.40811</v>
      </c>
      <c r="W48" s="0" t="n">
        <v>21.64042</v>
      </c>
      <c r="X48" s="0" t="n">
        <v>21.53645</v>
      </c>
      <c r="Y48" s="0" t="n">
        <v>21.87335</v>
      </c>
      <c r="Z48" s="0" t="n">
        <v>20.96346</v>
      </c>
      <c r="AA48" s="0" t="n">
        <v>22.27807</v>
      </c>
      <c r="AF48" s="0" t="n">
        <v>7</v>
      </c>
      <c r="AG48" s="0" t="n">
        <v>7</v>
      </c>
      <c r="AH48" s="0" t="n">
        <v>7</v>
      </c>
      <c r="AI48" s="0" t="n">
        <v>51.1</v>
      </c>
      <c r="AJ48" s="0" t="n">
        <v>51.1</v>
      </c>
      <c r="AK48" s="0" t="n">
        <v>51.1</v>
      </c>
      <c r="AL48" s="0" t="n">
        <v>14.914</v>
      </c>
      <c r="AM48" s="0" t="n">
        <v>0</v>
      </c>
      <c r="AN48" s="0" t="n">
        <v>323.31</v>
      </c>
      <c r="AO48" s="0" t="n">
        <v>205730000</v>
      </c>
      <c r="AP48" s="0" t="n">
        <v>74</v>
      </c>
      <c r="AQ48" s="0" t="n">
        <v>0.00821604024983094</v>
      </c>
      <c r="AR48" s="0" t="n">
        <v>0.192</v>
      </c>
      <c r="AS48" s="0" t="s">
        <v>265</v>
      </c>
      <c r="AT48" s="0" t="s">
        <v>265</v>
      </c>
      <c r="AU48" s="0" t="s">
        <v>266</v>
      </c>
      <c r="AV48" s="0" t="s">
        <v>267</v>
      </c>
      <c r="AW48" s="0" t="s">
        <v>150</v>
      </c>
      <c r="AZ48" s="0" t="n">
        <v>124</v>
      </c>
    </row>
    <row r="49" customFormat="false" ht="15" hidden="false" customHeight="false" outlineLevel="0" collapsed="false">
      <c r="A49" s="0" t="n">
        <v>16.24382</v>
      </c>
      <c r="B49" s="0" t="n">
        <v>17.14231</v>
      </c>
      <c r="C49" s="0" t="n">
        <v>15.76176</v>
      </c>
      <c r="D49" s="0" t="n">
        <v>17.30153</v>
      </c>
      <c r="E49" s="0" t="n">
        <v>17.00755</v>
      </c>
      <c r="F49" s="0" t="n">
        <v>17.28555</v>
      </c>
      <c r="G49" s="0" t="n">
        <v>16.3543</v>
      </c>
      <c r="H49" s="0" t="n">
        <v>16.70063</v>
      </c>
      <c r="I49" s="0" t="n">
        <v>15.83029</v>
      </c>
      <c r="J49" s="0" t="n">
        <v>18.2268</v>
      </c>
      <c r="K49" s="0" t="n">
        <v>17.75193</v>
      </c>
      <c r="L49" s="0" t="n">
        <v>18.32364</v>
      </c>
      <c r="M49" s="0" t="n">
        <v>16.63962</v>
      </c>
      <c r="N49" s="0" t="n">
        <v>16.56577</v>
      </c>
      <c r="O49" s="0" t="n">
        <v>17.25248</v>
      </c>
      <c r="P49" s="0" t="n">
        <v>17.11085</v>
      </c>
      <c r="Q49" s="0" t="n">
        <v>16.36035</v>
      </c>
      <c r="R49" s="0" t="n">
        <v>16.32214</v>
      </c>
      <c r="S49" s="0" t="n">
        <v>17.05494</v>
      </c>
      <c r="T49" s="0" t="n">
        <v>17.29634</v>
      </c>
      <c r="U49" s="0" t="n">
        <v>18.52573</v>
      </c>
      <c r="V49" s="0" t="n">
        <v>17.77069</v>
      </c>
      <c r="W49" s="0" t="n">
        <v>18.16074</v>
      </c>
      <c r="X49" s="0" t="n">
        <v>18.12999</v>
      </c>
      <c r="Y49" s="0" t="n">
        <v>18.44107</v>
      </c>
      <c r="Z49" s="0" t="n">
        <v>17.22703</v>
      </c>
      <c r="AA49" s="0" t="n">
        <v>18.75418</v>
      </c>
      <c r="AF49" s="0" t="n">
        <v>6</v>
      </c>
      <c r="AG49" s="0" t="n">
        <v>6</v>
      </c>
      <c r="AH49" s="0" t="n">
        <v>6</v>
      </c>
      <c r="AI49" s="0" t="n">
        <v>29.1</v>
      </c>
      <c r="AJ49" s="0" t="n">
        <v>29.1</v>
      </c>
      <c r="AK49" s="0" t="n">
        <v>29.1</v>
      </c>
      <c r="AL49" s="0" t="n">
        <v>25.387</v>
      </c>
      <c r="AM49" s="0" t="n">
        <v>0</v>
      </c>
      <c r="AN49" s="0" t="n">
        <v>22.321</v>
      </c>
      <c r="AO49" s="0" t="n">
        <v>7538700</v>
      </c>
      <c r="AP49" s="0" t="n">
        <v>36</v>
      </c>
      <c r="AQ49" s="0" t="n">
        <v>0.00392221330848682</v>
      </c>
      <c r="AR49" s="0" t="n">
        <v>0.222</v>
      </c>
      <c r="AS49" s="0" t="s">
        <v>268</v>
      </c>
      <c r="AT49" s="0" t="s">
        <v>268</v>
      </c>
      <c r="AU49" s="0" t="s">
        <v>269</v>
      </c>
      <c r="AV49" s="0" t="s">
        <v>270</v>
      </c>
      <c r="AW49" s="0" t="s">
        <v>155</v>
      </c>
      <c r="AZ49" s="0" t="n">
        <v>126</v>
      </c>
    </row>
    <row r="50" customFormat="false" ht="15" hidden="false" customHeight="false" outlineLevel="0" collapsed="false">
      <c r="A50" s="0" t="n">
        <v>18.45033</v>
      </c>
      <c r="B50" s="0" t="n">
        <v>17.59754</v>
      </c>
      <c r="C50" s="0" t="n">
        <v>19.78078</v>
      </c>
      <c r="D50" s="0" t="n">
        <v>18.60415</v>
      </c>
      <c r="E50" s="0" t="n">
        <v>18.79541</v>
      </c>
      <c r="F50" s="0" t="n">
        <v>19.7196</v>
      </c>
      <c r="G50" s="0" t="n">
        <v>18.76804</v>
      </c>
      <c r="H50" s="0" t="n">
        <v>18.92004</v>
      </c>
      <c r="I50" s="0" t="n">
        <v>18.65449</v>
      </c>
      <c r="J50" s="0" t="n">
        <v>19.13616</v>
      </c>
      <c r="K50" s="0" t="n">
        <v>17.81916</v>
      </c>
      <c r="L50" s="0" t="n">
        <v>18.62325</v>
      </c>
      <c r="M50" s="0" t="n">
        <v>18.44964</v>
      </c>
      <c r="N50" s="0" t="n">
        <v>20.92143</v>
      </c>
      <c r="O50" s="0" t="n">
        <v>18.89235</v>
      </c>
      <c r="P50" s="0" t="n">
        <v>18.90027</v>
      </c>
      <c r="Q50" s="0" t="n">
        <v>18.3673</v>
      </c>
      <c r="R50" s="0" t="n">
        <v>18.86701</v>
      </c>
      <c r="S50" s="0" t="n">
        <v>19.10771</v>
      </c>
      <c r="T50" s="0" t="n">
        <v>19.00906</v>
      </c>
      <c r="U50" s="0" t="n">
        <v>19.59368</v>
      </c>
      <c r="V50" s="0" t="n">
        <v>18.18732</v>
      </c>
      <c r="W50" s="0" t="n">
        <v>18.52917</v>
      </c>
      <c r="X50" s="0" t="n">
        <v>18.83381</v>
      </c>
      <c r="Y50" s="0" t="n">
        <v>19.49203</v>
      </c>
      <c r="Z50" s="0" t="n">
        <v>18.40266</v>
      </c>
      <c r="AA50" s="0" t="n">
        <v>19.35935</v>
      </c>
      <c r="AF50" s="0" t="n">
        <v>14</v>
      </c>
      <c r="AG50" s="0" t="n">
        <v>14</v>
      </c>
      <c r="AH50" s="0" t="n">
        <v>14</v>
      </c>
      <c r="AI50" s="0" t="n">
        <v>34.2</v>
      </c>
      <c r="AJ50" s="0" t="n">
        <v>34.2</v>
      </c>
      <c r="AK50" s="0" t="n">
        <v>34.2</v>
      </c>
      <c r="AL50" s="0" t="n">
        <v>63.173</v>
      </c>
      <c r="AM50" s="0" t="n">
        <v>0</v>
      </c>
      <c r="AN50" s="0" t="n">
        <v>28.476</v>
      </c>
      <c r="AO50" s="0" t="n">
        <v>18943000</v>
      </c>
      <c r="AP50" s="0" t="n">
        <v>95</v>
      </c>
      <c r="AQ50" s="0" t="n">
        <v>0.965643856305222</v>
      </c>
      <c r="AR50" s="0" t="n">
        <v>0.987504761904762</v>
      </c>
      <c r="AS50" s="0" t="s">
        <v>271</v>
      </c>
      <c r="AT50" s="0" t="s">
        <v>272</v>
      </c>
      <c r="AU50" s="0" t="s">
        <v>273</v>
      </c>
      <c r="AV50" s="0" t="s">
        <v>274</v>
      </c>
      <c r="AW50" s="0" t="s">
        <v>275</v>
      </c>
      <c r="AZ50" s="0" t="n">
        <v>129</v>
      </c>
    </row>
    <row r="51" customFormat="false" ht="15" hidden="false" customHeight="false" outlineLevel="0" collapsed="false">
      <c r="A51" s="0" t="n">
        <v>21.21916</v>
      </c>
      <c r="B51" s="0" t="n">
        <v>21.32778</v>
      </c>
      <c r="C51" s="0" t="n">
        <v>22.11537</v>
      </c>
      <c r="D51" s="0" t="n">
        <v>20.83784</v>
      </c>
      <c r="E51" s="0" t="n">
        <v>21.02229</v>
      </c>
      <c r="F51" s="0" t="n">
        <v>20.95084</v>
      </c>
      <c r="G51" s="0" t="n">
        <v>21.16183</v>
      </c>
      <c r="H51" s="0" t="n">
        <v>21.11579</v>
      </c>
      <c r="I51" s="0" t="n">
        <v>21.19298</v>
      </c>
      <c r="J51" s="0" t="n">
        <v>22.2009</v>
      </c>
      <c r="K51" s="0" t="n">
        <v>16.60212</v>
      </c>
      <c r="L51" s="0" t="n">
        <v>20.70007</v>
      </c>
      <c r="M51" s="0" t="n">
        <v>20.04567</v>
      </c>
      <c r="N51" s="0" t="n">
        <v>23.08096</v>
      </c>
      <c r="O51" s="0" t="n">
        <v>20.90124</v>
      </c>
      <c r="P51" s="0" t="n">
        <v>20.81237</v>
      </c>
      <c r="Q51" s="0" t="n">
        <v>21.60878</v>
      </c>
      <c r="R51" s="0" t="n">
        <v>21.44693</v>
      </c>
      <c r="S51" s="0" t="n">
        <v>20.90021</v>
      </c>
      <c r="T51" s="0" t="n">
        <v>21.61634</v>
      </c>
      <c r="U51" s="0" t="n">
        <v>21.6631</v>
      </c>
      <c r="V51" s="0" t="n">
        <v>21.19748</v>
      </c>
      <c r="W51" s="0" t="n">
        <v>21.06888</v>
      </c>
      <c r="X51" s="0" t="n">
        <v>21.09816</v>
      </c>
      <c r="Y51" s="0" t="n">
        <v>21.17585</v>
      </c>
      <c r="Z51" s="0" t="n">
        <v>21.84938</v>
      </c>
      <c r="AA51" s="0" t="n">
        <v>20.43979</v>
      </c>
      <c r="AF51" s="0" t="n">
        <v>13</v>
      </c>
      <c r="AG51" s="0" t="n">
        <v>13</v>
      </c>
      <c r="AH51" s="0" t="n">
        <v>13</v>
      </c>
      <c r="AI51" s="0" t="n">
        <v>57.7</v>
      </c>
      <c r="AJ51" s="0" t="n">
        <v>57.7</v>
      </c>
      <c r="AK51" s="0" t="n">
        <v>57.7</v>
      </c>
      <c r="AL51" s="0" t="n">
        <v>38.298</v>
      </c>
      <c r="AM51" s="0" t="n">
        <v>0</v>
      </c>
      <c r="AN51" s="0" t="n">
        <v>82.897</v>
      </c>
      <c r="AO51" s="0" t="n">
        <v>96967000</v>
      </c>
      <c r="AP51" s="0" t="n">
        <v>87</v>
      </c>
      <c r="AQ51" s="0" t="n">
        <v>0.728014335922071</v>
      </c>
      <c r="AR51" s="0" t="n">
        <v>0.909363636363636</v>
      </c>
      <c r="AS51" s="0" t="s">
        <v>276</v>
      </c>
      <c r="AT51" s="0" t="s">
        <v>277</v>
      </c>
      <c r="AU51" s="0" t="s">
        <v>278</v>
      </c>
      <c r="AV51" s="0" t="s">
        <v>279</v>
      </c>
      <c r="AW51" s="0" t="s">
        <v>280</v>
      </c>
      <c r="AZ51" s="0" t="n">
        <v>130</v>
      </c>
    </row>
    <row r="52" customFormat="false" ht="15" hidden="false" customHeight="false" outlineLevel="0" collapsed="false">
      <c r="A52" s="0" t="n">
        <v>18.35978</v>
      </c>
      <c r="B52" s="0" t="n">
        <v>18.69129</v>
      </c>
      <c r="C52" s="0" t="n">
        <v>20.54633</v>
      </c>
      <c r="D52" s="0" t="n">
        <v>18.4866</v>
      </c>
      <c r="E52" s="0" t="n">
        <v>20.08486</v>
      </c>
      <c r="F52" s="0" t="n">
        <v>20.14582</v>
      </c>
      <c r="G52" s="0" t="n">
        <v>17.99772</v>
      </c>
      <c r="H52" s="0" t="n">
        <v>19.5368</v>
      </c>
      <c r="I52" s="0" t="n">
        <v>19.59274</v>
      </c>
      <c r="J52" s="0" t="n">
        <v>19.07418</v>
      </c>
      <c r="K52" s="0" t="n">
        <v>19.42325</v>
      </c>
      <c r="L52" s="0" t="n">
        <v>17.42095</v>
      </c>
      <c r="M52" s="0" t="n">
        <v>19.22873</v>
      </c>
      <c r="N52" s="0" t="n">
        <v>19.50133</v>
      </c>
      <c r="O52" s="0" t="n">
        <v>17.53754</v>
      </c>
      <c r="P52" s="0" t="n">
        <v>19.54272</v>
      </c>
      <c r="Q52" s="0" t="n">
        <v>19.28141</v>
      </c>
      <c r="R52" s="0" t="n">
        <v>19.22541</v>
      </c>
      <c r="S52" s="0" t="n">
        <v>18.692</v>
      </c>
      <c r="T52" s="0" t="n">
        <v>19.6163</v>
      </c>
      <c r="U52" s="0" t="n">
        <v>18.9322</v>
      </c>
      <c r="V52" s="0" t="n">
        <v>18.06139</v>
      </c>
      <c r="W52" s="0" t="n">
        <v>18.95433</v>
      </c>
      <c r="X52" s="0" t="n">
        <v>18.63062</v>
      </c>
      <c r="Y52" s="0" t="n">
        <v>20.42818</v>
      </c>
      <c r="Z52" s="0" t="n">
        <v>19.32092</v>
      </c>
      <c r="AA52" s="0" t="n">
        <v>20.00003</v>
      </c>
      <c r="AF52" s="0" t="n">
        <v>11</v>
      </c>
      <c r="AG52" s="0" t="n">
        <v>11</v>
      </c>
      <c r="AH52" s="0" t="n">
        <v>11</v>
      </c>
      <c r="AI52" s="0" t="n">
        <v>43.5</v>
      </c>
      <c r="AJ52" s="0" t="n">
        <v>43.5</v>
      </c>
      <c r="AK52" s="0" t="n">
        <v>43.5</v>
      </c>
      <c r="AL52" s="0" t="n">
        <v>38.177</v>
      </c>
      <c r="AM52" s="0" t="n">
        <v>0</v>
      </c>
      <c r="AN52" s="0" t="n">
        <v>323.31</v>
      </c>
      <c r="AO52" s="0" t="n">
        <v>23186000</v>
      </c>
      <c r="AP52" s="0" t="n">
        <v>119</v>
      </c>
      <c r="AQ52" s="0" t="n">
        <v>0.936230838592294</v>
      </c>
      <c r="AR52" s="0" t="n">
        <v>0.97852427184466</v>
      </c>
      <c r="AS52" s="0" t="s">
        <v>281</v>
      </c>
      <c r="AT52" s="0" t="s">
        <v>281</v>
      </c>
      <c r="AU52" s="0" t="s">
        <v>282</v>
      </c>
      <c r="AV52" s="0" t="s">
        <v>283</v>
      </c>
      <c r="AW52" s="0" t="s">
        <v>284</v>
      </c>
      <c r="AZ52" s="0" t="n">
        <v>131</v>
      </c>
    </row>
    <row r="53" customFormat="false" ht="15" hidden="false" customHeight="false" outlineLevel="0" collapsed="false">
      <c r="A53" s="0" t="n">
        <v>21.05762</v>
      </c>
      <c r="B53" s="0" t="n">
        <v>21.19298</v>
      </c>
      <c r="C53" s="0" t="n">
        <v>19.83189</v>
      </c>
      <c r="D53" s="0" t="n">
        <v>20.48837</v>
      </c>
      <c r="E53" s="0" t="n">
        <v>20.95858</v>
      </c>
      <c r="F53" s="0" t="n">
        <v>21.10412</v>
      </c>
      <c r="G53" s="0" t="n">
        <v>20.57228</v>
      </c>
      <c r="H53" s="0" t="n">
        <v>21.41209</v>
      </c>
      <c r="I53" s="0" t="n">
        <v>21.53692</v>
      </c>
      <c r="J53" s="0" t="n">
        <v>21.85559</v>
      </c>
      <c r="K53" s="0" t="n">
        <v>20.17402</v>
      </c>
      <c r="L53" s="0" t="n">
        <v>20.80884</v>
      </c>
      <c r="M53" s="0" t="n">
        <v>21.69829</v>
      </c>
      <c r="N53" s="0" t="n">
        <v>21.92143</v>
      </c>
      <c r="O53" s="0" t="n">
        <v>20.89933</v>
      </c>
      <c r="P53" s="0" t="n">
        <v>20.44789</v>
      </c>
      <c r="Q53" s="0" t="n">
        <v>21.92133</v>
      </c>
      <c r="R53" s="0" t="n">
        <v>21.48601</v>
      </c>
      <c r="S53" s="0" t="n">
        <v>20.98001</v>
      </c>
      <c r="T53" s="0" t="n">
        <v>21.70443</v>
      </c>
      <c r="U53" s="0" t="n">
        <v>21.04046</v>
      </c>
      <c r="V53" s="0" t="n">
        <v>21.86007</v>
      </c>
      <c r="W53" s="0" t="n">
        <v>21.26023</v>
      </c>
      <c r="X53" s="0" t="n">
        <v>21.47556</v>
      </c>
      <c r="Y53" s="0" t="n">
        <v>20.82951</v>
      </c>
      <c r="Z53" s="0" t="n">
        <v>21.61279</v>
      </c>
      <c r="AA53" s="0" t="n">
        <v>21.95397</v>
      </c>
      <c r="AF53" s="0" t="n">
        <v>47</v>
      </c>
      <c r="AG53" s="0" t="n">
        <v>47</v>
      </c>
      <c r="AH53" s="0" t="n">
        <v>47</v>
      </c>
      <c r="AI53" s="0" t="n">
        <v>38.3</v>
      </c>
      <c r="AJ53" s="0" t="n">
        <v>38.3</v>
      </c>
      <c r="AK53" s="0" t="n">
        <v>38.3</v>
      </c>
      <c r="AL53" s="0" t="n">
        <v>249.4</v>
      </c>
      <c r="AM53" s="0" t="n">
        <v>0</v>
      </c>
      <c r="AN53" s="0" t="n">
        <v>242.38</v>
      </c>
      <c r="AO53" s="0" t="n">
        <v>95885000</v>
      </c>
      <c r="AP53" s="0" t="n">
        <v>334</v>
      </c>
      <c r="AQ53" s="0" t="n">
        <v>0.0633033832815643</v>
      </c>
      <c r="AR53" s="0" t="n">
        <v>0.497866666666667</v>
      </c>
      <c r="AS53" s="0" t="s">
        <v>285</v>
      </c>
      <c r="AT53" s="0" t="s">
        <v>286</v>
      </c>
      <c r="AU53" s="0" t="s">
        <v>287</v>
      </c>
      <c r="AV53" s="0" t="s">
        <v>288</v>
      </c>
      <c r="AW53" s="0" t="s">
        <v>289</v>
      </c>
      <c r="AX53" s="0" t="n">
        <v>77</v>
      </c>
      <c r="AY53" s="0" t="n">
        <v>1283</v>
      </c>
      <c r="AZ53" s="0" t="n">
        <v>132</v>
      </c>
    </row>
    <row r="54" customFormat="false" ht="15" hidden="false" customHeight="false" outlineLevel="0" collapsed="false">
      <c r="A54" s="0" t="n">
        <v>16.9741</v>
      </c>
      <c r="B54" s="0" t="n">
        <v>19.88426</v>
      </c>
      <c r="C54" s="0" t="n">
        <v>16.87385</v>
      </c>
      <c r="D54" s="0" t="n">
        <v>17.74116</v>
      </c>
      <c r="E54" s="0" t="n">
        <v>18.40037</v>
      </c>
      <c r="F54" s="0" t="n">
        <v>18.50916</v>
      </c>
      <c r="G54" s="0" t="n">
        <v>18.14251</v>
      </c>
      <c r="H54" s="0" t="n">
        <v>18.4184</v>
      </c>
      <c r="I54" s="0" t="n">
        <v>17.21267</v>
      </c>
      <c r="J54" s="0" t="n">
        <v>18.50013</v>
      </c>
      <c r="K54" s="0" t="n">
        <v>16.88686</v>
      </c>
      <c r="L54" s="0" t="n">
        <v>17.94369</v>
      </c>
      <c r="M54" s="0" t="n">
        <v>19.01269</v>
      </c>
      <c r="N54" s="0" t="n">
        <v>20.52736</v>
      </c>
      <c r="O54" s="0" t="n">
        <v>18.86236</v>
      </c>
      <c r="P54" s="0" t="n">
        <v>17.88572</v>
      </c>
      <c r="Q54" s="0" t="n">
        <v>18.91567</v>
      </c>
      <c r="R54" s="0" t="n">
        <v>18.51438</v>
      </c>
      <c r="S54" s="0" t="n">
        <v>18.44399</v>
      </c>
      <c r="T54" s="0" t="n">
        <v>18.77208</v>
      </c>
      <c r="U54" s="0" t="n">
        <v>17.44119</v>
      </c>
      <c r="V54" s="0" t="n">
        <v>18.08312</v>
      </c>
      <c r="W54" s="0" t="n">
        <v>18.88316</v>
      </c>
      <c r="X54" s="0" t="n">
        <v>19.10947</v>
      </c>
      <c r="Y54" s="0" t="n">
        <v>18.97953</v>
      </c>
      <c r="Z54" s="0" t="n">
        <v>18.13486</v>
      </c>
      <c r="AA54" s="0" t="n">
        <v>18.9131</v>
      </c>
      <c r="AF54" s="0" t="n">
        <v>10</v>
      </c>
      <c r="AG54" s="0" t="n">
        <v>10</v>
      </c>
      <c r="AH54" s="0" t="n">
        <v>10</v>
      </c>
      <c r="AI54" s="0" t="n">
        <v>72.4</v>
      </c>
      <c r="AJ54" s="0" t="n">
        <v>72.4</v>
      </c>
      <c r="AK54" s="0" t="n">
        <v>72.4</v>
      </c>
      <c r="AL54" s="0" t="n">
        <v>22.974</v>
      </c>
      <c r="AM54" s="0" t="n">
        <v>0</v>
      </c>
      <c r="AN54" s="0" t="n">
        <v>77.201</v>
      </c>
      <c r="AO54" s="0" t="n">
        <v>16283000</v>
      </c>
      <c r="AP54" s="0" t="n">
        <v>124</v>
      </c>
      <c r="AQ54" s="0" t="n">
        <v>0.641399860801283</v>
      </c>
      <c r="AR54" s="0" t="n">
        <v>0.899037974683544</v>
      </c>
      <c r="AS54" s="0" t="s">
        <v>290</v>
      </c>
      <c r="AT54" s="0" t="s">
        <v>290</v>
      </c>
      <c r="AU54" s="0" t="s">
        <v>291</v>
      </c>
      <c r="AV54" s="0" t="s">
        <v>292</v>
      </c>
      <c r="AW54" s="0" t="s">
        <v>145</v>
      </c>
      <c r="AZ54" s="0" t="n">
        <v>133</v>
      </c>
    </row>
    <row r="55" customFormat="false" ht="15" hidden="false" customHeight="false" outlineLevel="0" collapsed="false">
      <c r="A55" s="0" t="n">
        <v>18.16952</v>
      </c>
      <c r="B55" s="0" t="n">
        <v>18.81428</v>
      </c>
      <c r="C55" s="0" t="n">
        <v>15.97527</v>
      </c>
      <c r="D55" s="0" t="n">
        <v>17.84249</v>
      </c>
      <c r="E55" s="0" t="n">
        <v>18.23491</v>
      </c>
      <c r="F55" s="0" t="n">
        <v>18.5641</v>
      </c>
      <c r="G55" s="0" t="n">
        <v>17.73231</v>
      </c>
      <c r="H55" s="0" t="n">
        <v>18.28211</v>
      </c>
      <c r="I55" s="0" t="n">
        <v>18.29773</v>
      </c>
      <c r="J55" s="0" t="n">
        <v>18.39941</v>
      </c>
      <c r="K55" s="0" t="n">
        <v>16.10646</v>
      </c>
      <c r="L55" s="0" t="n">
        <v>18.70496</v>
      </c>
      <c r="M55" s="0" t="n">
        <v>17.48738</v>
      </c>
      <c r="N55" s="0" t="n">
        <v>19.45808</v>
      </c>
      <c r="O55" s="0" t="n">
        <v>19.19039</v>
      </c>
      <c r="P55" s="0" t="n">
        <v>18.09166</v>
      </c>
      <c r="Q55" s="0" t="n">
        <v>17.61641</v>
      </c>
      <c r="R55" s="0" t="n">
        <v>18.43661</v>
      </c>
      <c r="S55" s="0" t="n">
        <v>18.10144</v>
      </c>
      <c r="T55" s="0" t="n">
        <v>18.0788</v>
      </c>
      <c r="U55" s="0" t="n">
        <v>17.09104</v>
      </c>
      <c r="V55" s="0" t="n">
        <v>17.52451</v>
      </c>
      <c r="W55" s="0" t="n">
        <v>17.97175</v>
      </c>
      <c r="X55" s="0" t="n">
        <v>18.05574</v>
      </c>
      <c r="Y55" s="0" t="n">
        <v>18.24047</v>
      </c>
      <c r="Z55" s="0" t="n">
        <v>18.79573</v>
      </c>
      <c r="AA55" s="0" t="n">
        <v>17.45443</v>
      </c>
      <c r="AF55" s="0" t="n">
        <v>8</v>
      </c>
      <c r="AG55" s="0" t="n">
        <v>8</v>
      </c>
      <c r="AH55" s="0" t="n">
        <v>8</v>
      </c>
      <c r="AI55" s="0" t="n">
        <v>33</v>
      </c>
      <c r="AJ55" s="0" t="n">
        <v>33</v>
      </c>
      <c r="AK55" s="0" t="n">
        <v>33</v>
      </c>
      <c r="AL55" s="0" t="n">
        <v>38.999</v>
      </c>
      <c r="AM55" s="0" t="n">
        <v>0</v>
      </c>
      <c r="AN55" s="0" t="n">
        <v>54.626</v>
      </c>
      <c r="AO55" s="0" t="n">
        <v>11522000</v>
      </c>
      <c r="AP55" s="0" t="n">
        <v>35</v>
      </c>
      <c r="AQ55" s="0" t="n">
        <v>0.735507212824716</v>
      </c>
      <c r="AR55" s="0" t="n">
        <v>0.908808988764045</v>
      </c>
      <c r="AS55" s="0" t="s">
        <v>293</v>
      </c>
      <c r="AT55" s="0" t="s">
        <v>293</v>
      </c>
      <c r="AU55" s="0" t="s">
        <v>294</v>
      </c>
      <c r="AV55" s="0" t="s">
        <v>295</v>
      </c>
      <c r="AW55" s="0" t="s">
        <v>296</v>
      </c>
      <c r="AZ55" s="0" t="n">
        <v>134</v>
      </c>
    </row>
    <row r="56" customFormat="false" ht="15" hidden="false" customHeight="false" outlineLevel="0" collapsed="false">
      <c r="A56" s="0" t="n">
        <v>21.75764</v>
      </c>
      <c r="B56" s="0" t="n">
        <v>22.406</v>
      </c>
      <c r="C56" s="0" t="n">
        <v>21.92278</v>
      </c>
      <c r="D56" s="0" t="n">
        <v>21.73913</v>
      </c>
      <c r="E56" s="0" t="n">
        <v>22.52306</v>
      </c>
      <c r="F56" s="0" t="n">
        <v>22.28915</v>
      </c>
      <c r="G56" s="0" t="n">
        <v>22.39223</v>
      </c>
      <c r="H56" s="0" t="n">
        <v>22.17664</v>
      </c>
      <c r="I56" s="0" t="n">
        <v>21.52664</v>
      </c>
      <c r="J56" s="0" t="n">
        <v>20.84</v>
      </c>
      <c r="K56" s="0" t="n">
        <v>20.33865</v>
      </c>
      <c r="L56" s="0" t="n">
        <v>20.61414</v>
      </c>
      <c r="M56" s="0" t="n">
        <v>22.05321</v>
      </c>
      <c r="N56" s="0" t="n">
        <v>21.0476</v>
      </c>
      <c r="O56" s="0" t="n">
        <v>21.95784</v>
      </c>
      <c r="P56" s="0" t="n">
        <v>23.01447</v>
      </c>
      <c r="Q56" s="0" t="n">
        <v>22.43525</v>
      </c>
      <c r="R56" s="0" t="n">
        <v>22.25298</v>
      </c>
      <c r="S56" s="0" t="n">
        <v>22.66442</v>
      </c>
      <c r="T56" s="0" t="n">
        <v>21.89341</v>
      </c>
      <c r="U56" s="0" t="n">
        <v>23.24644</v>
      </c>
      <c r="V56" s="0" t="n">
        <v>22.15814</v>
      </c>
      <c r="W56" s="0" t="n">
        <v>22.11006</v>
      </c>
      <c r="X56" s="0" t="n">
        <v>22.40671</v>
      </c>
      <c r="Y56" s="0" t="n">
        <v>23.16759</v>
      </c>
      <c r="Z56" s="0" t="n">
        <v>21.79812</v>
      </c>
      <c r="AA56" s="0" t="n">
        <v>22.96739</v>
      </c>
      <c r="AF56" s="0" t="n">
        <v>9</v>
      </c>
      <c r="AG56" s="0" t="n">
        <v>9</v>
      </c>
      <c r="AH56" s="0" t="n">
        <v>6</v>
      </c>
      <c r="AI56" s="0" t="n">
        <v>44.8</v>
      </c>
      <c r="AJ56" s="0" t="n">
        <v>44.8</v>
      </c>
      <c r="AK56" s="0" t="n">
        <v>32.3</v>
      </c>
      <c r="AL56" s="0" t="n">
        <v>23.511</v>
      </c>
      <c r="AM56" s="0" t="n">
        <v>0</v>
      </c>
      <c r="AN56" s="0" t="n">
        <v>323.31</v>
      </c>
      <c r="AO56" s="0" t="n">
        <v>194600000</v>
      </c>
      <c r="AP56" s="0" t="n">
        <v>264</v>
      </c>
      <c r="AQ56" s="0" t="n">
        <v>0.104025682740539</v>
      </c>
      <c r="AR56" s="0" t="n">
        <v>0.645263157894737</v>
      </c>
      <c r="AS56" s="0" t="s">
        <v>297</v>
      </c>
      <c r="AT56" s="0" t="s">
        <v>297</v>
      </c>
      <c r="AU56" s="0" t="s">
        <v>298</v>
      </c>
      <c r="AV56" s="0" t="s">
        <v>299</v>
      </c>
      <c r="AW56" s="0" t="s">
        <v>226</v>
      </c>
      <c r="AX56" s="0" t="n">
        <v>78</v>
      </c>
      <c r="AY56" s="0" t="n">
        <v>129</v>
      </c>
      <c r="AZ56" s="0" t="n">
        <v>135</v>
      </c>
    </row>
    <row r="57" customFormat="false" ht="15" hidden="false" customHeight="false" outlineLevel="0" collapsed="false">
      <c r="A57" s="0" t="n">
        <v>21.24383</v>
      </c>
      <c r="B57" s="0" t="n">
        <v>21.89538</v>
      </c>
      <c r="C57" s="0" t="n">
        <v>21.94575</v>
      </c>
      <c r="D57" s="0" t="n">
        <v>22.34889</v>
      </c>
      <c r="E57" s="0" t="n">
        <v>21.82881</v>
      </c>
      <c r="F57" s="0" t="n">
        <v>22.31915</v>
      </c>
      <c r="G57" s="0" t="n">
        <v>21.06151</v>
      </c>
      <c r="H57" s="0" t="n">
        <v>21.70455</v>
      </c>
      <c r="I57" s="0" t="n">
        <v>21.46628</v>
      </c>
      <c r="J57" s="0" t="n">
        <v>21.1925</v>
      </c>
      <c r="K57" s="0" t="n">
        <v>21.20812</v>
      </c>
      <c r="L57" s="0" t="n">
        <v>19.46579</v>
      </c>
      <c r="M57" s="0" t="n">
        <v>22.1006</v>
      </c>
      <c r="N57" s="0" t="n">
        <v>20.60277</v>
      </c>
      <c r="O57" s="0" t="n">
        <v>20.1784</v>
      </c>
      <c r="P57" s="0" t="n">
        <v>21.29603</v>
      </c>
      <c r="Q57" s="0" t="n">
        <v>21.57579</v>
      </c>
      <c r="R57" s="0" t="n">
        <v>21.92994</v>
      </c>
      <c r="S57" s="0" t="n">
        <v>21.41529</v>
      </c>
      <c r="T57" s="0" t="n">
        <v>21.88963</v>
      </c>
      <c r="U57" s="0" t="n">
        <v>22.37579</v>
      </c>
      <c r="V57" s="0" t="n">
        <v>22.97463</v>
      </c>
      <c r="W57" s="0" t="n">
        <v>21.52032</v>
      </c>
      <c r="X57" s="0" t="n">
        <v>21.81026</v>
      </c>
      <c r="Y57" s="0" t="n">
        <v>21.46309</v>
      </c>
      <c r="Z57" s="0" t="n">
        <v>21.65958</v>
      </c>
      <c r="AA57" s="0" t="n">
        <v>21.79812</v>
      </c>
      <c r="AF57" s="0" t="n">
        <v>9</v>
      </c>
      <c r="AG57" s="0" t="n">
        <v>9</v>
      </c>
      <c r="AH57" s="0" t="n">
        <v>9</v>
      </c>
      <c r="AI57" s="0" t="n">
        <v>40.6</v>
      </c>
      <c r="AJ57" s="0" t="n">
        <v>40.6</v>
      </c>
      <c r="AK57" s="0" t="n">
        <v>40.6</v>
      </c>
      <c r="AL57" s="0" t="n">
        <v>39.324</v>
      </c>
      <c r="AM57" s="0" t="n">
        <v>0</v>
      </c>
      <c r="AN57" s="0" t="n">
        <v>323.31</v>
      </c>
      <c r="AO57" s="0" t="n">
        <v>124990000</v>
      </c>
      <c r="AP57" s="0" t="n">
        <v>221</v>
      </c>
      <c r="AQ57" s="0" t="n">
        <v>0.0571212464905762</v>
      </c>
      <c r="AR57" s="0" t="n">
        <v>0.486285714285714</v>
      </c>
      <c r="AS57" s="0" t="s">
        <v>300</v>
      </c>
      <c r="AT57" s="0" t="s">
        <v>301</v>
      </c>
      <c r="AU57" s="0" t="s">
        <v>302</v>
      </c>
      <c r="AV57" s="0" t="s">
        <v>303</v>
      </c>
      <c r="AW57" s="0" t="s">
        <v>226</v>
      </c>
      <c r="AX57" s="0" t="n">
        <v>79</v>
      </c>
      <c r="AY57" s="0" t="n">
        <v>321</v>
      </c>
      <c r="AZ57" s="0" t="n">
        <v>136</v>
      </c>
    </row>
    <row r="58" customFormat="false" ht="15" hidden="false" customHeight="false" outlineLevel="0" collapsed="false">
      <c r="A58" s="0" t="n">
        <v>19.52728</v>
      </c>
      <c r="B58" s="0" t="n">
        <v>21.68209</v>
      </c>
      <c r="C58" s="0" t="n">
        <v>21.67116</v>
      </c>
      <c r="D58" s="0" t="n">
        <v>20.78277</v>
      </c>
      <c r="E58" s="0" t="n">
        <v>21.60309</v>
      </c>
      <c r="F58" s="0" t="n">
        <v>20.70269</v>
      </c>
      <c r="G58" s="0" t="n">
        <v>20.38437</v>
      </c>
      <c r="H58" s="0" t="n">
        <v>21.9501</v>
      </c>
      <c r="I58" s="0" t="n">
        <v>20.20288</v>
      </c>
      <c r="J58" s="0" t="n">
        <v>18.10472</v>
      </c>
      <c r="K58" s="0" t="n">
        <v>17.23211</v>
      </c>
      <c r="L58" s="0" t="n">
        <v>19.31072</v>
      </c>
      <c r="M58" s="0" t="n">
        <v>22.11661</v>
      </c>
      <c r="N58" s="0" t="n">
        <v>20.9025</v>
      </c>
      <c r="O58" s="0" t="n">
        <v>20.24656</v>
      </c>
      <c r="P58" s="0" t="n">
        <v>20.95347</v>
      </c>
      <c r="Q58" s="0" t="n">
        <v>21.1764</v>
      </c>
      <c r="R58" s="0" t="n">
        <v>21.76963</v>
      </c>
      <c r="S58" s="0" t="n">
        <v>21.06164</v>
      </c>
      <c r="T58" s="0" t="n">
        <v>21.163</v>
      </c>
      <c r="U58" s="0" t="n">
        <v>22.09516</v>
      </c>
      <c r="V58" s="0" t="n">
        <v>20.30519</v>
      </c>
      <c r="W58" s="0" t="n">
        <v>21.59969</v>
      </c>
      <c r="X58" s="0" t="n">
        <v>21.55197</v>
      </c>
      <c r="Y58" s="0" t="n">
        <v>21.46518</v>
      </c>
      <c r="Z58" s="0" t="n">
        <v>20.41957</v>
      </c>
      <c r="AA58" s="0" t="n">
        <v>21.52831</v>
      </c>
      <c r="AF58" s="0" t="n">
        <v>9</v>
      </c>
      <c r="AG58" s="0" t="n">
        <v>9</v>
      </c>
      <c r="AH58" s="0" t="n">
        <v>9</v>
      </c>
      <c r="AI58" s="0" t="n">
        <v>69.4</v>
      </c>
      <c r="AJ58" s="0" t="n">
        <v>69.4</v>
      </c>
      <c r="AK58" s="0" t="n">
        <v>69.4</v>
      </c>
      <c r="AL58" s="0" t="n">
        <v>15.887</v>
      </c>
      <c r="AM58" s="0" t="n">
        <v>0</v>
      </c>
      <c r="AN58" s="0" t="n">
        <v>258.46</v>
      </c>
      <c r="AO58" s="0" t="n">
        <v>85560000</v>
      </c>
      <c r="AP58" s="0" t="n">
        <v>191</v>
      </c>
      <c r="AQ58" s="0" t="n">
        <v>0.414088881756074</v>
      </c>
      <c r="AR58" s="0" t="n">
        <v>0.901153846153846</v>
      </c>
      <c r="AS58" s="0" t="s">
        <v>304</v>
      </c>
      <c r="AT58" s="0" t="s">
        <v>305</v>
      </c>
      <c r="AU58" s="0" t="s">
        <v>306</v>
      </c>
      <c r="AV58" s="0" t="s">
        <v>307</v>
      </c>
      <c r="AW58" s="0" t="s">
        <v>226</v>
      </c>
      <c r="AZ58" s="0" t="n">
        <v>137</v>
      </c>
    </row>
    <row r="59" customFormat="false" ht="15" hidden="false" customHeight="false" outlineLevel="0" collapsed="false">
      <c r="A59" s="0" t="n">
        <v>23.07774</v>
      </c>
      <c r="B59" s="0" t="n">
        <v>22.95211</v>
      </c>
      <c r="C59" s="0" t="n">
        <v>23.46712</v>
      </c>
      <c r="D59" s="0" t="n">
        <v>23.10478</v>
      </c>
      <c r="E59" s="0" t="n">
        <v>23.79213</v>
      </c>
      <c r="F59" s="0" t="n">
        <v>23.56162</v>
      </c>
      <c r="G59" s="0" t="n">
        <v>22.85855</v>
      </c>
      <c r="H59" s="0" t="n">
        <v>23.27555</v>
      </c>
      <c r="I59" s="0" t="n">
        <v>23.13323</v>
      </c>
      <c r="J59" s="0" t="n">
        <v>23.38653</v>
      </c>
      <c r="K59" s="0" t="n">
        <v>23.24531</v>
      </c>
      <c r="L59" s="0" t="n">
        <v>22.28926</v>
      </c>
      <c r="M59" s="0" t="n">
        <v>23.52013</v>
      </c>
      <c r="N59" s="0" t="n">
        <v>23.67411</v>
      </c>
      <c r="O59" s="0" t="n">
        <v>22.47388</v>
      </c>
      <c r="P59" s="0" t="n">
        <v>22.98843</v>
      </c>
      <c r="Q59" s="0" t="n">
        <v>23.47877</v>
      </c>
      <c r="R59" s="0" t="n">
        <v>23.37968</v>
      </c>
      <c r="S59" s="0" t="n">
        <v>22.91996</v>
      </c>
      <c r="T59" s="0" t="n">
        <v>23.16168</v>
      </c>
      <c r="U59" s="0" t="n">
        <v>23.67638</v>
      </c>
      <c r="V59" s="0" t="n">
        <v>23.69147</v>
      </c>
      <c r="W59" s="0" t="n">
        <v>23.17008</v>
      </c>
      <c r="X59" s="0" t="n">
        <v>23.13187</v>
      </c>
      <c r="Y59" s="0" t="n">
        <v>23.38601</v>
      </c>
      <c r="Z59" s="0" t="n">
        <v>23.4929</v>
      </c>
      <c r="AA59" s="0" t="n">
        <v>23.19099</v>
      </c>
      <c r="AF59" s="0" t="n">
        <v>25</v>
      </c>
      <c r="AG59" s="0" t="n">
        <v>25</v>
      </c>
      <c r="AH59" s="0" t="n">
        <v>2</v>
      </c>
      <c r="AI59" s="0" t="n">
        <v>63.1</v>
      </c>
      <c r="AJ59" s="0" t="n">
        <v>63.1</v>
      </c>
      <c r="AK59" s="0" t="n">
        <v>5.7</v>
      </c>
      <c r="AL59" s="0" t="n">
        <v>52.963</v>
      </c>
      <c r="AM59" s="0" t="n">
        <v>0</v>
      </c>
      <c r="AN59" s="0" t="n">
        <v>323.31</v>
      </c>
      <c r="AO59" s="0" t="n">
        <v>360480000</v>
      </c>
      <c r="AP59" s="0" t="n">
        <v>513</v>
      </c>
      <c r="AQ59" s="0" t="n">
        <v>0.309565182109136</v>
      </c>
      <c r="AR59" s="0" t="n">
        <v>0.840190476190476</v>
      </c>
      <c r="AS59" s="0" t="s">
        <v>308</v>
      </c>
      <c r="AT59" s="0" t="s">
        <v>308</v>
      </c>
      <c r="AU59" s="0" t="s">
        <v>309</v>
      </c>
      <c r="AV59" s="0" t="s">
        <v>310</v>
      </c>
      <c r="AW59" s="0" t="s">
        <v>121</v>
      </c>
      <c r="AX59" s="0" t="n">
        <v>39</v>
      </c>
      <c r="AY59" s="0" t="n">
        <v>185</v>
      </c>
      <c r="AZ59" s="0" t="n">
        <v>138</v>
      </c>
    </row>
    <row r="60" customFormat="false" ht="15" hidden="false" customHeight="false" outlineLevel="0" collapsed="false">
      <c r="A60" s="0" t="n">
        <v>17.94575</v>
      </c>
      <c r="B60" s="0" t="n">
        <v>18.26109</v>
      </c>
      <c r="C60" s="0" t="n">
        <v>16.21544</v>
      </c>
      <c r="D60" s="0" t="n">
        <v>19.31816</v>
      </c>
      <c r="E60" s="0" t="n">
        <v>18.04383</v>
      </c>
      <c r="F60" s="0" t="n">
        <v>18.61956</v>
      </c>
      <c r="G60" s="0" t="n">
        <v>17.18911</v>
      </c>
      <c r="H60" s="0" t="n">
        <v>18.18979</v>
      </c>
      <c r="I60" s="0" t="n">
        <v>18.69074</v>
      </c>
      <c r="J60" s="0" t="n">
        <v>18.8465</v>
      </c>
      <c r="K60" s="0" t="n">
        <v>16.09975</v>
      </c>
      <c r="L60" s="0" t="n">
        <v>17.44581</v>
      </c>
      <c r="M60" s="0" t="n">
        <v>18.84739</v>
      </c>
      <c r="N60" s="0" t="n">
        <v>14.16608</v>
      </c>
      <c r="O60" s="0" t="n">
        <v>18.36863</v>
      </c>
      <c r="P60" s="0" t="n">
        <v>17.86961</v>
      </c>
      <c r="Q60" s="0" t="n">
        <v>18.51991</v>
      </c>
      <c r="R60" s="0" t="n">
        <v>18.20003</v>
      </c>
      <c r="S60" s="0" t="n">
        <v>17.5939</v>
      </c>
      <c r="T60" s="0" t="n">
        <v>18.74067</v>
      </c>
      <c r="U60" s="0" t="n">
        <v>19.62776</v>
      </c>
      <c r="V60" s="0" t="n">
        <v>20.61477</v>
      </c>
      <c r="W60" s="0" t="n">
        <v>19.18171</v>
      </c>
      <c r="X60" s="0" t="n">
        <v>19.13976</v>
      </c>
      <c r="Y60" s="0" t="n">
        <v>19.06745</v>
      </c>
      <c r="Z60" s="0" t="n">
        <v>19.46702</v>
      </c>
      <c r="AA60" s="0" t="n">
        <v>18.1849</v>
      </c>
      <c r="AF60" s="0" t="n">
        <v>6</v>
      </c>
      <c r="AG60" s="0" t="n">
        <v>6</v>
      </c>
      <c r="AH60" s="0" t="n">
        <v>6</v>
      </c>
      <c r="AI60" s="0" t="n">
        <v>38.3</v>
      </c>
      <c r="AJ60" s="0" t="n">
        <v>38.3</v>
      </c>
      <c r="AK60" s="0" t="n">
        <v>38.3</v>
      </c>
      <c r="AL60" s="0" t="n">
        <v>13.894</v>
      </c>
      <c r="AM60" s="0" t="n">
        <v>0</v>
      </c>
      <c r="AN60" s="0" t="n">
        <v>14.767</v>
      </c>
      <c r="AO60" s="0" t="n">
        <v>14678000</v>
      </c>
      <c r="AP60" s="0" t="n">
        <v>58</v>
      </c>
      <c r="AQ60" s="0" t="n">
        <v>0.0150608509205985</v>
      </c>
      <c r="AR60" s="0" t="n">
        <v>0.291333333333333</v>
      </c>
      <c r="AS60" s="0" t="s">
        <v>311</v>
      </c>
      <c r="AT60" s="0" t="s">
        <v>311</v>
      </c>
      <c r="AU60" s="0" t="s">
        <v>312</v>
      </c>
      <c r="AV60" s="0" t="s">
        <v>313</v>
      </c>
      <c r="AW60" s="0" t="s">
        <v>155</v>
      </c>
      <c r="AZ60" s="0" t="n">
        <v>139</v>
      </c>
    </row>
    <row r="61" customFormat="false" ht="15" hidden="false" customHeight="false" outlineLevel="0" collapsed="false">
      <c r="A61" s="0" t="n">
        <v>25.0547</v>
      </c>
      <c r="B61" s="0" t="n">
        <v>23.80853</v>
      </c>
      <c r="C61" s="0" t="n">
        <v>24.28673</v>
      </c>
      <c r="D61" s="0" t="n">
        <v>24.79531</v>
      </c>
      <c r="E61" s="0" t="n">
        <v>24.9055</v>
      </c>
      <c r="F61" s="0" t="n">
        <v>24.70852</v>
      </c>
      <c r="G61" s="0" t="n">
        <v>25.0147</v>
      </c>
      <c r="H61" s="0" t="n">
        <v>24.48738</v>
      </c>
      <c r="I61" s="0" t="n">
        <v>25.02614</v>
      </c>
      <c r="J61" s="0" t="n">
        <v>25.45158</v>
      </c>
      <c r="K61" s="0" t="n">
        <v>24.3646</v>
      </c>
      <c r="L61" s="0" t="n">
        <v>25.60631</v>
      </c>
      <c r="M61" s="0" t="n">
        <v>24.86566</v>
      </c>
      <c r="N61" s="0" t="n">
        <v>24.86844</v>
      </c>
      <c r="O61" s="0" t="n">
        <v>25.5037</v>
      </c>
      <c r="P61" s="0" t="n">
        <v>24.51923</v>
      </c>
      <c r="Q61" s="0" t="n">
        <v>24.60789</v>
      </c>
      <c r="R61" s="0" t="n">
        <v>24.31907</v>
      </c>
      <c r="S61" s="0" t="n">
        <v>24.36793</v>
      </c>
      <c r="T61" s="0" t="n">
        <v>24.75588</v>
      </c>
      <c r="U61" s="0" t="n">
        <v>24.72588</v>
      </c>
      <c r="V61" s="0" t="n">
        <v>24.53635</v>
      </c>
      <c r="W61" s="0" t="n">
        <v>24.3684</v>
      </c>
      <c r="X61" s="0" t="n">
        <v>24.49069</v>
      </c>
      <c r="Y61" s="0" t="n">
        <v>24.31659</v>
      </c>
      <c r="Z61" s="0" t="n">
        <v>24.79119</v>
      </c>
      <c r="AA61" s="0" t="n">
        <v>24.43307</v>
      </c>
      <c r="AF61" s="0" t="n">
        <v>51</v>
      </c>
      <c r="AG61" s="0" t="n">
        <v>51</v>
      </c>
      <c r="AH61" s="0" t="n">
        <v>51</v>
      </c>
      <c r="AI61" s="0" t="n">
        <v>69.1</v>
      </c>
      <c r="AJ61" s="0" t="n">
        <v>69.1</v>
      </c>
      <c r="AK61" s="0" t="n">
        <v>69.1</v>
      </c>
      <c r="AL61" s="0" t="n">
        <v>77.063</v>
      </c>
      <c r="AM61" s="0" t="n">
        <v>0</v>
      </c>
      <c r="AN61" s="0" t="n">
        <v>323.31</v>
      </c>
      <c r="AO61" s="0" t="n">
        <v>1149700000</v>
      </c>
      <c r="AP61" s="0" t="n">
        <v>1105</v>
      </c>
      <c r="AQ61" s="0" t="n">
        <v>0.34289565730008</v>
      </c>
      <c r="AR61" s="0" t="n">
        <v>0.865777777777778</v>
      </c>
      <c r="AS61" s="0" t="s">
        <v>314</v>
      </c>
      <c r="AT61" s="0" t="s">
        <v>315</v>
      </c>
      <c r="AU61" s="0" t="s">
        <v>316</v>
      </c>
      <c r="AV61" s="0" t="s">
        <v>317</v>
      </c>
      <c r="AW61" s="0" t="s">
        <v>318</v>
      </c>
      <c r="AX61" s="0" t="s">
        <v>319</v>
      </c>
      <c r="AY61" s="0" t="s">
        <v>320</v>
      </c>
      <c r="AZ61" s="0" t="n">
        <v>141</v>
      </c>
    </row>
    <row r="62" customFormat="false" ht="15" hidden="false" customHeight="false" outlineLevel="0" collapsed="false">
      <c r="A62" s="0" t="n">
        <v>23.59423</v>
      </c>
      <c r="B62" s="0" t="n">
        <v>23.536</v>
      </c>
      <c r="C62" s="0" t="n">
        <v>23.93643</v>
      </c>
      <c r="D62" s="0" t="n">
        <v>23.5248</v>
      </c>
      <c r="E62" s="0" t="n">
        <v>23.61852</v>
      </c>
      <c r="F62" s="0" t="n">
        <v>23.83123</v>
      </c>
      <c r="G62" s="0" t="n">
        <v>22.98944</v>
      </c>
      <c r="H62" s="0" t="n">
        <v>23.45776</v>
      </c>
      <c r="I62" s="0" t="n">
        <v>23.44152</v>
      </c>
      <c r="J62" s="0" t="n">
        <v>23.63677</v>
      </c>
      <c r="K62" s="0" t="n">
        <v>22.63646</v>
      </c>
      <c r="L62" s="0" t="n">
        <v>23.22932</v>
      </c>
      <c r="M62" s="0" t="n">
        <v>23.33497</v>
      </c>
      <c r="N62" s="0" t="n">
        <v>24.39539</v>
      </c>
      <c r="O62" s="0" t="n">
        <v>23.80656</v>
      </c>
      <c r="P62" s="0" t="n">
        <v>23.37796</v>
      </c>
      <c r="Q62" s="0" t="n">
        <v>23.93993</v>
      </c>
      <c r="R62" s="0" t="n">
        <v>23.171</v>
      </c>
      <c r="S62" s="0" t="n">
        <v>23.2939</v>
      </c>
      <c r="T62" s="0" t="n">
        <v>23.60377</v>
      </c>
      <c r="U62" s="0" t="n">
        <v>23.55684</v>
      </c>
      <c r="V62" s="0" t="n">
        <v>22.67532</v>
      </c>
      <c r="W62" s="0" t="n">
        <v>23.13297</v>
      </c>
      <c r="X62" s="0" t="n">
        <v>23.00137</v>
      </c>
      <c r="Y62" s="0" t="n">
        <v>23.26227</v>
      </c>
      <c r="Z62" s="0" t="n">
        <v>23.46849</v>
      </c>
      <c r="AA62" s="0" t="n">
        <v>22.87245</v>
      </c>
      <c r="AF62" s="0" t="n">
        <v>18</v>
      </c>
      <c r="AG62" s="0" t="n">
        <v>18</v>
      </c>
      <c r="AH62" s="0" t="n">
        <v>18</v>
      </c>
      <c r="AI62" s="0" t="n">
        <v>55.8</v>
      </c>
      <c r="AJ62" s="0" t="n">
        <v>55.8</v>
      </c>
      <c r="AK62" s="0" t="n">
        <v>55.8</v>
      </c>
      <c r="AL62" s="0" t="n">
        <v>51.676</v>
      </c>
      <c r="AM62" s="0" t="n">
        <v>0</v>
      </c>
      <c r="AN62" s="0" t="n">
        <v>323.31</v>
      </c>
      <c r="AO62" s="0" t="n">
        <v>439890000</v>
      </c>
      <c r="AP62" s="0" t="n">
        <v>414</v>
      </c>
      <c r="AQ62" s="0" t="n">
        <v>0.159410857086966</v>
      </c>
      <c r="AR62" s="0" t="n">
        <v>0.75008</v>
      </c>
      <c r="AS62" s="0" t="s">
        <v>321</v>
      </c>
      <c r="AT62" s="0" t="s">
        <v>321</v>
      </c>
      <c r="AU62" s="0" t="s">
        <v>322</v>
      </c>
      <c r="AV62" s="0" t="s">
        <v>323</v>
      </c>
      <c r="AW62" s="0" t="s">
        <v>69</v>
      </c>
      <c r="AX62" s="0" t="s">
        <v>324</v>
      </c>
      <c r="AY62" s="0" t="s">
        <v>325</v>
      </c>
      <c r="AZ62" s="0" t="n">
        <v>142</v>
      </c>
    </row>
    <row r="63" customFormat="false" ht="15" hidden="false" customHeight="false" outlineLevel="0" collapsed="false">
      <c r="A63" s="0" t="n">
        <v>20.25753</v>
      </c>
      <c r="B63" s="0" t="n">
        <v>20.53602</v>
      </c>
      <c r="C63" s="0" t="n">
        <v>18.30768</v>
      </c>
      <c r="D63" s="0" t="n">
        <v>20.76061</v>
      </c>
      <c r="E63" s="0" t="n">
        <v>20.50543</v>
      </c>
      <c r="F63" s="0" t="n">
        <v>20.81613</v>
      </c>
      <c r="G63" s="0" t="n">
        <v>20.11337</v>
      </c>
      <c r="H63" s="0" t="n">
        <v>20.5871</v>
      </c>
      <c r="I63" s="0" t="n">
        <v>20.95971</v>
      </c>
      <c r="J63" s="0" t="n">
        <v>20.93121</v>
      </c>
      <c r="K63" s="0" t="n">
        <v>18.38229</v>
      </c>
      <c r="L63" s="0" t="n">
        <v>20.22694</v>
      </c>
      <c r="M63" s="0" t="n">
        <v>20.81495</v>
      </c>
      <c r="N63" s="0" t="n">
        <v>19.18628</v>
      </c>
      <c r="O63" s="0" t="n">
        <v>20.52363</v>
      </c>
      <c r="P63" s="0" t="n">
        <v>20.69464</v>
      </c>
      <c r="Q63" s="0" t="n">
        <v>20.98106</v>
      </c>
      <c r="R63" s="0" t="n">
        <v>21.01903</v>
      </c>
      <c r="S63" s="0" t="n">
        <v>21.03946</v>
      </c>
      <c r="T63" s="0" t="n">
        <v>20.84827</v>
      </c>
      <c r="U63" s="0" t="n">
        <v>21.63139</v>
      </c>
      <c r="V63" s="0" t="n">
        <v>20.82314</v>
      </c>
      <c r="W63" s="0" t="n">
        <v>20.14644</v>
      </c>
      <c r="X63" s="0" t="n">
        <v>21.05676</v>
      </c>
      <c r="Y63" s="0" t="n">
        <v>21.20538</v>
      </c>
      <c r="Z63" s="0" t="n">
        <v>20.78796</v>
      </c>
      <c r="AA63" s="0" t="n">
        <v>21.38943</v>
      </c>
      <c r="AF63" s="0" t="n">
        <v>18</v>
      </c>
      <c r="AG63" s="0" t="n">
        <v>18</v>
      </c>
      <c r="AH63" s="0" t="n">
        <v>18</v>
      </c>
      <c r="AI63" s="0" t="n">
        <v>40.5</v>
      </c>
      <c r="AJ63" s="0" t="n">
        <v>40.5</v>
      </c>
      <c r="AK63" s="0" t="n">
        <v>40.5</v>
      </c>
      <c r="AL63" s="0" t="n">
        <v>67.033</v>
      </c>
      <c r="AM63" s="0" t="n">
        <v>0</v>
      </c>
      <c r="AN63" s="0" t="n">
        <v>323.31</v>
      </c>
      <c r="AO63" s="0" t="n">
        <v>68098000</v>
      </c>
      <c r="AP63" s="0" t="n">
        <v>180</v>
      </c>
      <c r="AQ63" s="0" t="n">
        <v>0.223636570438897</v>
      </c>
      <c r="AR63" s="0" t="n">
        <v>0.715555555555556</v>
      </c>
      <c r="AS63" s="0" t="s">
        <v>326</v>
      </c>
      <c r="AT63" s="0" t="s">
        <v>327</v>
      </c>
      <c r="AU63" s="0" t="s">
        <v>328</v>
      </c>
      <c r="AV63" s="0" t="s">
        <v>329</v>
      </c>
      <c r="AW63" s="0" t="s">
        <v>69</v>
      </c>
      <c r="AZ63" s="0" t="n">
        <v>144</v>
      </c>
    </row>
    <row r="64" customFormat="false" ht="15" hidden="false" customHeight="false" outlineLevel="0" collapsed="false">
      <c r="A64" s="0" t="n">
        <v>19.91624</v>
      </c>
      <c r="B64" s="0" t="n">
        <v>20.39571</v>
      </c>
      <c r="C64" s="0" t="n">
        <v>21.90588</v>
      </c>
      <c r="D64" s="0" t="n">
        <v>19.83254</v>
      </c>
      <c r="E64" s="0" t="n">
        <v>20.13069</v>
      </c>
      <c r="F64" s="0" t="n">
        <v>19.80431</v>
      </c>
      <c r="G64" s="0" t="n">
        <v>20.38795</v>
      </c>
      <c r="H64" s="0" t="n">
        <v>19.94192</v>
      </c>
      <c r="I64" s="0" t="n">
        <v>20.01468</v>
      </c>
      <c r="J64" s="0" t="n">
        <v>20.24412</v>
      </c>
      <c r="K64" s="0" t="n">
        <v>20.13721</v>
      </c>
      <c r="L64" s="0" t="n">
        <v>21.34218</v>
      </c>
      <c r="M64" s="0" t="n">
        <v>19.70423</v>
      </c>
      <c r="N64" s="0" t="n">
        <v>20.92231</v>
      </c>
      <c r="O64" s="0" t="n">
        <v>20.42306</v>
      </c>
      <c r="P64" s="0" t="n">
        <v>19.52091</v>
      </c>
      <c r="Q64" s="0" t="n">
        <v>20.10265</v>
      </c>
      <c r="R64" s="0" t="n">
        <v>19.53071</v>
      </c>
      <c r="S64" s="0" t="n">
        <v>20.00031</v>
      </c>
      <c r="T64" s="0" t="n">
        <v>19.88116</v>
      </c>
      <c r="U64" s="0" t="n">
        <v>19.91171</v>
      </c>
      <c r="V64" s="0" t="n">
        <v>20.49804</v>
      </c>
      <c r="W64" s="0" t="n">
        <v>19.82555</v>
      </c>
      <c r="X64" s="0" t="n">
        <v>19.83929</v>
      </c>
      <c r="Y64" s="0" t="n">
        <v>19.51597</v>
      </c>
      <c r="Z64" s="0" t="n">
        <v>20.22729</v>
      </c>
      <c r="AA64" s="0" t="n">
        <v>19.78753</v>
      </c>
      <c r="AF64" s="0" t="n">
        <v>13</v>
      </c>
      <c r="AG64" s="0" t="n">
        <v>13</v>
      </c>
      <c r="AH64" s="0" t="n">
        <v>13</v>
      </c>
      <c r="AI64" s="0" t="n">
        <v>26.8</v>
      </c>
      <c r="AJ64" s="0" t="n">
        <v>26.8</v>
      </c>
      <c r="AK64" s="0" t="n">
        <v>26.8</v>
      </c>
      <c r="AL64" s="0" t="n">
        <v>54.305</v>
      </c>
      <c r="AM64" s="0" t="n">
        <v>0</v>
      </c>
      <c r="AN64" s="0" t="n">
        <v>302.8</v>
      </c>
      <c r="AO64" s="0" t="n">
        <v>48213000</v>
      </c>
      <c r="AP64" s="0" t="n">
        <v>135</v>
      </c>
      <c r="AQ64" s="0" t="n">
        <v>0.492648095375394</v>
      </c>
      <c r="AR64" s="0" t="n">
        <v>0.889548387096774</v>
      </c>
      <c r="AS64" s="0" t="s">
        <v>330</v>
      </c>
      <c r="AT64" s="0" t="s">
        <v>331</v>
      </c>
      <c r="AU64" s="0" t="s">
        <v>332</v>
      </c>
      <c r="AV64" s="0" t="s">
        <v>333</v>
      </c>
      <c r="AW64" s="0" t="s">
        <v>280</v>
      </c>
      <c r="AX64" s="0" t="n">
        <v>89</v>
      </c>
      <c r="AY64" s="0" t="n">
        <v>359</v>
      </c>
      <c r="AZ64" s="0" t="n">
        <v>145</v>
      </c>
    </row>
    <row r="65" customFormat="false" ht="15" hidden="false" customHeight="false" outlineLevel="0" collapsed="false">
      <c r="A65" s="0" t="n">
        <v>23.4051</v>
      </c>
      <c r="B65" s="0" t="n">
        <v>23.71712</v>
      </c>
      <c r="C65" s="0" t="n">
        <v>23.93256</v>
      </c>
      <c r="D65" s="0" t="n">
        <v>23.21614</v>
      </c>
      <c r="E65" s="0" t="n">
        <v>23.63123</v>
      </c>
      <c r="F65" s="0" t="n">
        <v>23.49777</v>
      </c>
      <c r="G65" s="0" t="n">
        <v>23.23631</v>
      </c>
      <c r="H65" s="0" t="n">
        <v>24.27789</v>
      </c>
      <c r="I65" s="0" t="n">
        <v>23.38087</v>
      </c>
      <c r="J65" s="0" t="n">
        <v>24.29235</v>
      </c>
      <c r="K65" s="0" t="n">
        <v>23.51593</v>
      </c>
      <c r="L65" s="0" t="n">
        <v>23.25782</v>
      </c>
      <c r="M65" s="0" t="n">
        <v>23.63522</v>
      </c>
      <c r="N65" s="0" t="n">
        <v>24.67853</v>
      </c>
      <c r="O65" s="0" t="n">
        <v>23.87427</v>
      </c>
      <c r="P65" s="0" t="n">
        <v>23.73614</v>
      </c>
      <c r="Q65" s="0" t="n">
        <v>23.453</v>
      </c>
      <c r="R65" s="0" t="n">
        <v>23.90353</v>
      </c>
      <c r="S65" s="0" t="n">
        <v>23.79074</v>
      </c>
      <c r="T65" s="0" t="n">
        <v>24.13806</v>
      </c>
      <c r="U65" s="0" t="n">
        <v>24.03053</v>
      </c>
      <c r="V65" s="0" t="n">
        <v>23.59012</v>
      </c>
      <c r="W65" s="0" t="n">
        <v>23.99697</v>
      </c>
      <c r="X65" s="0" t="n">
        <v>24.1529</v>
      </c>
      <c r="Y65" s="0" t="n">
        <v>23.34055</v>
      </c>
      <c r="Z65" s="0" t="n">
        <v>24.24213</v>
      </c>
      <c r="AA65" s="0" t="n">
        <v>23.74212</v>
      </c>
      <c r="AF65" s="0" t="n">
        <v>163</v>
      </c>
      <c r="AG65" s="0" t="n">
        <v>163</v>
      </c>
      <c r="AH65" s="0" t="n">
        <v>163</v>
      </c>
      <c r="AI65" s="0" t="n">
        <v>48</v>
      </c>
      <c r="AJ65" s="0" t="n">
        <v>48</v>
      </c>
      <c r="AK65" s="0" t="n">
        <v>48</v>
      </c>
      <c r="AL65" s="0" t="n">
        <v>515.6</v>
      </c>
      <c r="AM65" s="0" t="n">
        <v>0</v>
      </c>
      <c r="AN65" s="0" t="n">
        <v>323.31</v>
      </c>
      <c r="AO65" s="0" t="n">
        <v>558430000</v>
      </c>
      <c r="AP65" s="0" t="n">
        <v>1439</v>
      </c>
      <c r="AQ65" s="0" t="n">
        <v>0.131230406851631</v>
      </c>
      <c r="AR65" s="0" t="n">
        <v>0.702909090909091</v>
      </c>
      <c r="AS65" s="0" t="s">
        <v>334</v>
      </c>
      <c r="AT65" s="0" t="s">
        <v>335</v>
      </c>
      <c r="AU65" s="0" t="s">
        <v>336</v>
      </c>
      <c r="AV65" s="0" t="s">
        <v>337</v>
      </c>
      <c r="AW65" s="0" t="s">
        <v>338</v>
      </c>
      <c r="AX65" s="0" t="s">
        <v>339</v>
      </c>
      <c r="AY65" s="0" t="s">
        <v>340</v>
      </c>
      <c r="AZ65" s="0" t="n">
        <v>146</v>
      </c>
    </row>
    <row r="66" customFormat="false" ht="15" hidden="false" customHeight="false" outlineLevel="0" collapsed="false">
      <c r="A66" s="0" t="n">
        <v>20.67323</v>
      </c>
      <c r="B66" s="0" t="n">
        <v>20.55366</v>
      </c>
      <c r="C66" s="0" t="n">
        <v>20.29827</v>
      </c>
      <c r="D66" s="0" t="n">
        <v>20.10955</v>
      </c>
      <c r="E66" s="0" t="n">
        <v>20.88338</v>
      </c>
      <c r="F66" s="0" t="n">
        <v>20.74501</v>
      </c>
      <c r="G66" s="0" t="n">
        <v>20.1317</v>
      </c>
      <c r="H66" s="0" t="n">
        <v>21.11769</v>
      </c>
      <c r="I66" s="0" t="n">
        <v>20.17341</v>
      </c>
      <c r="J66" s="0" t="n">
        <v>19.04759</v>
      </c>
      <c r="K66" s="0" t="n">
        <v>17.5418</v>
      </c>
      <c r="L66" s="0" t="n">
        <v>18.67635</v>
      </c>
      <c r="M66" s="0" t="n">
        <v>20.93948</v>
      </c>
      <c r="N66" s="0" t="n">
        <v>22.78919</v>
      </c>
      <c r="O66" s="0" t="n">
        <v>20.41204</v>
      </c>
      <c r="P66" s="0" t="n">
        <v>20.14258</v>
      </c>
      <c r="Q66" s="0" t="n">
        <v>21.38132</v>
      </c>
      <c r="R66" s="0" t="n">
        <v>21.17292</v>
      </c>
      <c r="S66" s="0" t="n">
        <v>20.27912</v>
      </c>
      <c r="T66" s="0" t="n">
        <v>20.24272</v>
      </c>
      <c r="U66" s="0" t="n">
        <v>20.8906</v>
      </c>
      <c r="V66" s="0" t="n">
        <v>19.32419</v>
      </c>
      <c r="W66" s="0" t="n">
        <v>21.04993</v>
      </c>
      <c r="X66" s="0" t="n">
        <v>20.53905</v>
      </c>
      <c r="Y66" s="0" t="n">
        <v>20.12389</v>
      </c>
      <c r="Z66" s="0" t="n">
        <v>21.05966</v>
      </c>
      <c r="AA66" s="0" t="n">
        <v>19.6308</v>
      </c>
      <c r="AF66" s="0" t="n">
        <v>11</v>
      </c>
      <c r="AG66" s="0" t="n">
        <v>11</v>
      </c>
      <c r="AH66" s="0" t="n">
        <v>11</v>
      </c>
      <c r="AI66" s="0" t="n">
        <v>29.9</v>
      </c>
      <c r="AJ66" s="0" t="n">
        <v>29.9</v>
      </c>
      <c r="AK66" s="0" t="n">
        <v>29.9</v>
      </c>
      <c r="AL66" s="0" t="n">
        <v>59.578</v>
      </c>
      <c r="AM66" s="0" t="n">
        <v>0</v>
      </c>
      <c r="AN66" s="0" t="n">
        <v>74.233</v>
      </c>
      <c r="AO66" s="0" t="n">
        <v>58583000</v>
      </c>
      <c r="AP66" s="0" t="n">
        <v>144</v>
      </c>
      <c r="AQ66" s="0" t="n">
        <v>0.893973505311488</v>
      </c>
      <c r="AR66" s="0" t="n">
        <v>0.974545454545454</v>
      </c>
      <c r="AS66" s="0" t="s">
        <v>341</v>
      </c>
      <c r="AT66" s="0" t="s">
        <v>341</v>
      </c>
      <c r="AU66" s="0" t="s">
        <v>342</v>
      </c>
      <c r="AV66" s="0" t="s">
        <v>343</v>
      </c>
      <c r="AW66" s="0" t="s">
        <v>284</v>
      </c>
      <c r="AZ66" s="0" t="n">
        <v>148</v>
      </c>
    </row>
    <row r="67" customFormat="false" ht="15" hidden="false" customHeight="false" outlineLevel="0" collapsed="false">
      <c r="A67" s="0" t="n">
        <v>21.77471</v>
      </c>
      <c r="B67" s="0" t="n">
        <v>21.30975</v>
      </c>
      <c r="C67" s="0" t="n">
        <v>18.8065</v>
      </c>
      <c r="D67" s="0" t="n">
        <v>21.0357</v>
      </c>
      <c r="E67" s="0" t="n">
        <v>20.91342</v>
      </c>
      <c r="F67" s="0" t="n">
        <v>22.11197</v>
      </c>
      <c r="G67" s="0" t="n">
        <v>21.82159</v>
      </c>
      <c r="H67" s="0" t="n">
        <v>22.5855</v>
      </c>
      <c r="I67" s="0" t="n">
        <v>21.0436</v>
      </c>
      <c r="J67" s="0" t="n">
        <v>21.86318</v>
      </c>
      <c r="K67" s="0" t="n">
        <v>16.90912</v>
      </c>
      <c r="L67" s="0" t="n">
        <v>21.80821</v>
      </c>
      <c r="M67" s="0" t="n">
        <v>22.72621</v>
      </c>
      <c r="N67" s="0" t="n">
        <v>22.3315</v>
      </c>
      <c r="O67" s="0" t="n">
        <v>20.94213</v>
      </c>
      <c r="P67" s="0" t="n">
        <v>21.90224</v>
      </c>
      <c r="Q67" s="0" t="n">
        <v>22.26029</v>
      </c>
      <c r="R67" s="0" t="n">
        <v>22.16082</v>
      </c>
      <c r="S67" s="0" t="n">
        <v>21.39074</v>
      </c>
      <c r="T67" s="0" t="n">
        <v>21.36014</v>
      </c>
      <c r="U67" s="0" t="n">
        <v>21.64192</v>
      </c>
      <c r="V67" s="0" t="n">
        <v>22.07297</v>
      </c>
      <c r="W67" s="0" t="n">
        <v>22.19484</v>
      </c>
      <c r="X67" s="0" t="n">
        <v>21.88383</v>
      </c>
      <c r="Y67" s="0" t="n">
        <v>22.1061</v>
      </c>
      <c r="Z67" s="0" t="n">
        <v>21.74016</v>
      </c>
      <c r="AA67" s="0" t="n">
        <v>22.62344</v>
      </c>
      <c r="AF67" s="0" t="n">
        <v>16</v>
      </c>
      <c r="AG67" s="0" t="n">
        <v>16</v>
      </c>
      <c r="AH67" s="0" t="n">
        <v>16</v>
      </c>
      <c r="AI67" s="0" t="n">
        <v>57.2</v>
      </c>
      <c r="AJ67" s="0" t="n">
        <v>57.2</v>
      </c>
      <c r="AK67" s="0" t="n">
        <v>57.2</v>
      </c>
      <c r="AL67" s="0" t="n">
        <v>54.253</v>
      </c>
      <c r="AM67" s="0" t="n">
        <v>0</v>
      </c>
      <c r="AN67" s="0" t="n">
        <v>323.31</v>
      </c>
      <c r="AO67" s="0" t="n">
        <v>128090000</v>
      </c>
      <c r="AP67" s="0" t="n">
        <v>207</v>
      </c>
      <c r="AQ67" s="0" t="n">
        <v>0.482500459272722</v>
      </c>
      <c r="AR67" s="0" t="n">
        <v>0.886885245901639</v>
      </c>
      <c r="AS67" s="0" t="s">
        <v>344</v>
      </c>
      <c r="AT67" s="0" t="s">
        <v>345</v>
      </c>
      <c r="AU67" s="0" t="s">
        <v>346</v>
      </c>
      <c r="AV67" s="0" t="s">
        <v>347</v>
      </c>
      <c r="AW67" s="0" t="s">
        <v>110</v>
      </c>
      <c r="AZ67" s="0" t="n">
        <v>149</v>
      </c>
    </row>
    <row r="68" customFormat="false" ht="15" hidden="false" customHeight="false" outlineLevel="0" collapsed="false">
      <c r="A68" s="0" t="n">
        <v>15.82677</v>
      </c>
      <c r="B68" s="0" t="n">
        <v>15.99811</v>
      </c>
      <c r="C68" s="0" t="n">
        <v>17.62185</v>
      </c>
      <c r="D68" s="0" t="n">
        <v>13.41681</v>
      </c>
      <c r="E68" s="0" t="n">
        <v>15.58986</v>
      </c>
      <c r="F68" s="0" t="n">
        <v>14.78346</v>
      </c>
      <c r="G68" s="0" t="n">
        <v>14.98678</v>
      </c>
      <c r="H68" s="0" t="n">
        <v>15.6836</v>
      </c>
      <c r="I68" s="0" t="n">
        <v>15.30773</v>
      </c>
      <c r="J68" s="0" t="n">
        <v>13.84495</v>
      </c>
      <c r="K68" s="0" t="n">
        <v>15.95567</v>
      </c>
      <c r="L68" s="0" t="n">
        <v>13.48079</v>
      </c>
      <c r="M68" s="0" t="n">
        <v>14.91424</v>
      </c>
      <c r="N68" s="0" t="n">
        <v>16.43359</v>
      </c>
      <c r="O68" s="0" t="n">
        <v>14.42482</v>
      </c>
      <c r="P68" s="0" t="n">
        <v>14.95374</v>
      </c>
      <c r="Q68" s="0" t="n">
        <v>15.36782</v>
      </c>
      <c r="R68" s="0" t="n">
        <v>15.29182</v>
      </c>
      <c r="S68" s="0" t="n">
        <v>15.1159</v>
      </c>
      <c r="T68" s="0" t="n">
        <v>15.63226</v>
      </c>
      <c r="U68" s="0" t="n">
        <v>14.6831</v>
      </c>
      <c r="V68" s="0" t="n">
        <v>14.42913</v>
      </c>
      <c r="W68" s="0" t="n">
        <v>15.97264</v>
      </c>
      <c r="X68" s="0" t="n">
        <v>15.2467</v>
      </c>
      <c r="Y68" s="0" t="n">
        <v>15.16922</v>
      </c>
      <c r="Z68" s="0" t="n">
        <v>15.51286</v>
      </c>
      <c r="AA68" s="0" t="n">
        <v>15.58924</v>
      </c>
      <c r="AF68" s="0" t="n">
        <v>5</v>
      </c>
      <c r="AG68" s="0" t="n">
        <v>5</v>
      </c>
      <c r="AH68" s="0" t="n">
        <v>5</v>
      </c>
      <c r="AI68" s="0" t="n">
        <v>15.3</v>
      </c>
      <c r="AJ68" s="0" t="n">
        <v>15.3</v>
      </c>
      <c r="AK68" s="0" t="n">
        <v>15.3</v>
      </c>
      <c r="AL68" s="0" t="n">
        <v>45.674</v>
      </c>
      <c r="AM68" s="0" t="n">
        <v>0</v>
      </c>
      <c r="AN68" s="0" t="n">
        <v>5.9462</v>
      </c>
      <c r="AO68" s="0" t="n">
        <v>1294400</v>
      </c>
      <c r="AP68" s="0" t="n">
        <v>21</v>
      </c>
      <c r="AQ68" s="0" t="n">
        <v>0.712958905317871</v>
      </c>
      <c r="AR68" s="0" t="n">
        <v>0.922682352941176</v>
      </c>
      <c r="AS68" s="0" t="s">
        <v>348</v>
      </c>
      <c r="AT68" s="0" t="s">
        <v>349</v>
      </c>
      <c r="AU68" s="0" t="s">
        <v>350</v>
      </c>
      <c r="AV68" s="0" t="s">
        <v>351</v>
      </c>
      <c r="AW68" s="0" t="s">
        <v>87</v>
      </c>
      <c r="AZ68" s="0" t="n">
        <v>151</v>
      </c>
    </row>
    <row r="69" customFormat="false" ht="15" hidden="false" customHeight="false" outlineLevel="0" collapsed="false">
      <c r="A69" s="0" t="n">
        <v>19.23582</v>
      </c>
      <c r="B69" s="0" t="n">
        <v>19.30247</v>
      </c>
      <c r="C69" s="0" t="n">
        <v>21.40561</v>
      </c>
      <c r="D69" s="0" t="n">
        <v>19.54958</v>
      </c>
      <c r="E69" s="0" t="n">
        <v>19.08672</v>
      </c>
      <c r="F69" s="0" t="n">
        <v>19.52396</v>
      </c>
      <c r="G69" s="0" t="n">
        <v>19.82627</v>
      </c>
      <c r="H69" s="0" t="n">
        <v>19.04793</v>
      </c>
      <c r="I69" s="0" t="n">
        <v>20.71137</v>
      </c>
      <c r="J69" s="0" t="n">
        <v>20.99155</v>
      </c>
      <c r="K69" s="0" t="n">
        <v>20.21169</v>
      </c>
      <c r="L69" s="0" t="n">
        <v>19.9402</v>
      </c>
      <c r="M69" s="0" t="n">
        <v>18.12787</v>
      </c>
      <c r="N69" s="0" t="n">
        <v>23.1207</v>
      </c>
      <c r="O69" s="0" t="n">
        <v>20.80774</v>
      </c>
      <c r="P69" s="0" t="n">
        <v>19.02969</v>
      </c>
      <c r="Q69" s="0" t="n">
        <v>19.39528</v>
      </c>
      <c r="R69" s="0" t="n">
        <v>19.27242</v>
      </c>
      <c r="S69" s="0" t="n">
        <v>19.64135</v>
      </c>
      <c r="T69" s="0" t="n">
        <v>19.67275</v>
      </c>
      <c r="U69" s="0" t="n">
        <v>19.4521</v>
      </c>
      <c r="V69" s="0" t="n">
        <v>19.06329</v>
      </c>
      <c r="W69" s="0" t="n">
        <v>18.96531</v>
      </c>
      <c r="X69" s="0" t="n">
        <v>18.52929</v>
      </c>
      <c r="Y69" s="0" t="n">
        <v>18.68815</v>
      </c>
      <c r="Z69" s="0" t="n">
        <v>19.17553</v>
      </c>
      <c r="AA69" s="0" t="n">
        <v>18.4309</v>
      </c>
      <c r="AF69" s="0" t="n">
        <v>10</v>
      </c>
      <c r="AG69" s="0" t="n">
        <v>10</v>
      </c>
      <c r="AH69" s="0" t="n">
        <v>10</v>
      </c>
      <c r="AI69" s="0" t="n">
        <v>23.2</v>
      </c>
      <c r="AJ69" s="0" t="n">
        <v>23.2</v>
      </c>
      <c r="AK69" s="0" t="n">
        <v>23.2</v>
      </c>
      <c r="AL69" s="0" t="n">
        <v>49.757</v>
      </c>
      <c r="AM69" s="0" t="n">
        <v>0</v>
      </c>
      <c r="AN69" s="0" t="n">
        <v>64.222</v>
      </c>
      <c r="AO69" s="0" t="n">
        <v>44474000</v>
      </c>
      <c r="AP69" s="0" t="n">
        <v>112</v>
      </c>
      <c r="AQ69" s="0" t="n">
        <v>0.138028753682871</v>
      </c>
      <c r="AR69" s="0" t="n">
        <v>0.705217391304348</v>
      </c>
      <c r="AS69" s="0" t="s">
        <v>352</v>
      </c>
      <c r="AT69" s="0" t="s">
        <v>353</v>
      </c>
      <c r="AU69" s="0" t="s">
        <v>354</v>
      </c>
      <c r="AV69" s="0" t="s">
        <v>355</v>
      </c>
      <c r="AW69" s="0" t="s">
        <v>145</v>
      </c>
      <c r="AX69" s="0" t="n">
        <v>101</v>
      </c>
      <c r="AY69" s="0" t="n">
        <v>357</v>
      </c>
      <c r="AZ69" s="0" t="n">
        <v>152</v>
      </c>
    </row>
    <row r="70" customFormat="false" ht="15" hidden="false" customHeight="false" outlineLevel="0" collapsed="false">
      <c r="A70" s="0" t="n">
        <v>16.02046</v>
      </c>
      <c r="B70" s="0" t="n">
        <v>15.7902</v>
      </c>
      <c r="C70" s="0" t="n">
        <v>17.31857</v>
      </c>
      <c r="D70" s="0" t="n">
        <v>15.55219</v>
      </c>
      <c r="E70" s="0" t="n">
        <v>16.12434</v>
      </c>
      <c r="F70" s="0" t="n">
        <v>15.9681</v>
      </c>
      <c r="G70" s="0" t="n">
        <v>15.68294</v>
      </c>
      <c r="H70" s="0" t="n">
        <v>15.90616</v>
      </c>
      <c r="I70" s="0" t="n">
        <v>16.61999</v>
      </c>
      <c r="J70" s="0" t="n">
        <v>16.52595</v>
      </c>
      <c r="K70" s="0" t="n">
        <v>17.14049</v>
      </c>
      <c r="L70" s="0" t="n">
        <v>15.90221</v>
      </c>
      <c r="M70" s="0" t="n">
        <v>15.48963</v>
      </c>
      <c r="N70" s="0" t="n">
        <v>16.82588</v>
      </c>
      <c r="O70" s="0" t="n">
        <v>16.2439</v>
      </c>
      <c r="P70" s="0" t="n">
        <v>15.73026</v>
      </c>
      <c r="Q70" s="0" t="n">
        <v>15.51859</v>
      </c>
      <c r="R70" s="0" t="n">
        <v>15.63138</v>
      </c>
      <c r="S70" s="0" t="n">
        <v>16.02215</v>
      </c>
      <c r="T70" s="0" t="n">
        <v>16.05219</v>
      </c>
      <c r="U70" s="0" t="n">
        <v>16.93041</v>
      </c>
      <c r="V70" s="0" t="n">
        <v>16.85404</v>
      </c>
      <c r="W70" s="0" t="n">
        <v>17.3617</v>
      </c>
      <c r="X70" s="0" t="n">
        <v>17.03628</v>
      </c>
      <c r="Y70" s="0" t="n">
        <v>16.76046</v>
      </c>
      <c r="Z70" s="0" t="n">
        <v>16.6986</v>
      </c>
      <c r="AA70" s="0" t="n">
        <v>16.68099</v>
      </c>
      <c r="AF70" s="0" t="n">
        <v>8</v>
      </c>
      <c r="AG70" s="0" t="n">
        <v>8</v>
      </c>
      <c r="AH70" s="0" t="n">
        <v>8</v>
      </c>
      <c r="AI70" s="0" t="n">
        <v>21.5</v>
      </c>
      <c r="AJ70" s="0" t="n">
        <v>21.5</v>
      </c>
      <c r="AK70" s="0" t="n">
        <v>21.5</v>
      </c>
      <c r="AL70" s="0" t="n">
        <v>75.51</v>
      </c>
      <c r="AM70" s="0" t="n">
        <v>0</v>
      </c>
      <c r="AN70" s="0" t="n">
        <v>17.028</v>
      </c>
      <c r="AO70" s="0" t="n">
        <v>2657500</v>
      </c>
      <c r="AP70" s="0" t="n">
        <v>18</v>
      </c>
      <c r="AQ70" s="0" t="n">
        <v>0.00512026172968307</v>
      </c>
      <c r="AR70" s="0" t="n">
        <v>0.182666666666667</v>
      </c>
      <c r="AS70" s="0" t="s">
        <v>356</v>
      </c>
      <c r="AT70" s="0" t="s">
        <v>356</v>
      </c>
      <c r="AU70" s="0" t="s">
        <v>357</v>
      </c>
      <c r="AV70" s="0" t="s">
        <v>358</v>
      </c>
      <c r="AW70" s="0" t="s">
        <v>296</v>
      </c>
      <c r="AZ70" s="0" t="n">
        <v>153</v>
      </c>
    </row>
    <row r="71" customFormat="false" ht="15" hidden="false" customHeight="false" outlineLevel="0" collapsed="false">
      <c r="A71" s="0" t="n">
        <v>17.59921</v>
      </c>
      <c r="B71" s="0" t="n">
        <v>17.56993</v>
      </c>
      <c r="C71" s="0" t="n">
        <v>16.61693</v>
      </c>
      <c r="D71" s="0" t="n">
        <v>17.6888</v>
      </c>
      <c r="E71" s="0" t="n">
        <v>17.4855</v>
      </c>
      <c r="F71" s="0" t="n">
        <v>19.05698</v>
      </c>
      <c r="G71" s="0" t="n">
        <v>17.58241</v>
      </c>
      <c r="H71" s="0" t="n">
        <v>18.11949</v>
      </c>
      <c r="I71" s="0" t="n">
        <v>17.98092</v>
      </c>
      <c r="J71" s="0" t="n">
        <v>14.05027</v>
      </c>
      <c r="K71" s="0" t="n">
        <v>16.87931</v>
      </c>
      <c r="L71" s="0" t="n">
        <v>19.57653</v>
      </c>
      <c r="M71" s="0" t="n">
        <v>18.32342</v>
      </c>
      <c r="N71" s="0" t="n">
        <v>19.30697</v>
      </c>
      <c r="O71" s="0" t="n">
        <v>17.66261</v>
      </c>
      <c r="P71" s="0" t="n">
        <v>17.45796</v>
      </c>
      <c r="Q71" s="0" t="n">
        <v>18.20409</v>
      </c>
      <c r="R71" s="0" t="n">
        <v>17.97858</v>
      </c>
      <c r="S71" s="0" t="n">
        <v>17.93853</v>
      </c>
      <c r="T71" s="0" t="n">
        <v>17.33961</v>
      </c>
      <c r="U71" s="0" t="n">
        <v>17.31168</v>
      </c>
      <c r="V71" s="0" t="n">
        <v>17.98382</v>
      </c>
      <c r="W71" s="0" t="n">
        <v>18.41988</v>
      </c>
      <c r="X71" s="0" t="n">
        <v>18.20834</v>
      </c>
      <c r="Y71" s="0" t="n">
        <v>18.47171</v>
      </c>
      <c r="Z71" s="0" t="n">
        <v>18.21</v>
      </c>
      <c r="AA71" s="0" t="n">
        <v>18.71488</v>
      </c>
      <c r="AF71" s="0" t="n">
        <v>6</v>
      </c>
      <c r="AG71" s="0" t="n">
        <v>6</v>
      </c>
      <c r="AH71" s="0" t="n">
        <v>6</v>
      </c>
      <c r="AI71" s="0" t="n">
        <v>21.2</v>
      </c>
      <c r="AJ71" s="0" t="n">
        <v>21.2</v>
      </c>
      <c r="AK71" s="0" t="n">
        <v>21.2</v>
      </c>
      <c r="AL71" s="0" t="n">
        <v>46.324</v>
      </c>
      <c r="AM71" s="0" t="n">
        <v>0</v>
      </c>
      <c r="AN71" s="0" t="n">
        <v>4.9845</v>
      </c>
      <c r="AO71" s="0" t="n">
        <v>9658300</v>
      </c>
      <c r="AP71" s="0" t="n">
        <v>16</v>
      </c>
      <c r="AQ71" s="0" t="n">
        <v>0.727012298814684</v>
      </c>
      <c r="AR71" s="0" t="n">
        <v>0.918758620689655</v>
      </c>
      <c r="AS71" s="0" t="s">
        <v>359</v>
      </c>
      <c r="AT71" s="0" t="s">
        <v>360</v>
      </c>
      <c r="AU71" s="0" t="s">
        <v>361</v>
      </c>
      <c r="AV71" s="0" t="s">
        <v>362</v>
      </c>
      <c r="AW71" s="0" t="s">
        <v>155</v>
      </c>
      <c r="AZ71" s="0" t="n">
        <v>154</v>
      </c>
    </row>
    <row r="72" customFormat="false" ht="15" hidden="false" customHeight="false" outlineLevel="0" collapsed="false">
      <c r="A72" s="0" t="n">
        <v>18.05944</v>
      </c>
      <c r="B72" s="0" t="n">
        <v>18.7291</v>
      </c>
      <c r="C72" s="0" t="n">
        <v>17.40116</v>
      </c>
      <c r="D72" s="0" t="n">
        <v>17.94318</v>
      </c>
      <c r="E72" s="0" t="n">
        <v>18.60675</v>
      </c>
      <c r="F72" s="0" t="n">
        <v>17.94392</v>
      </c>
      <c r="G72" s="0" t="n">
        <v>18.93163</v>
      </c>
      <c r="H72" s="0" t="n">
        <v>19.06361</v>
      </c>
      <c r="I72" s="0" t="n">
        <v>17.90906</v>
      </c>
      <c r="J72" s="0" t="n">
        <v>19.59685</v>
      </c>
      <c r="K72" s="0" t="n">
        <v>16.78227</v>
      </c>
      <c r="L72" s="0" t="n">
        <v>19.86814</v>
      </c>
      <c r="M72" s="0" t="n">
        <v>19.28281</v>
      </c>
      <c r="N72" s="0" t="n">
        <v>18.8593</v>
      </c>
      <c r="O72" s="0" t="n">
        <v>19.58127</v>
      </c>
      <c r="P72" s="0" t="n">
        <v>19.39412</v>
      </c>
      <c r="Q72" s="0" t="n">
        <v>18.9598</v>
      </c>
      <c r="R72" s="0" t="n">
        <v>19.26075</v>
      </c>
      <c r="S72" s="0" t="n">
        <v>18.98624</v>
      </c>
      <c r="T72" s="0" t="n">
        <v>18.86097</v>
      </c>
      <c r="U72" s="0" t="n">
        <v>19.94692</v>
      </c>
      <c r="V72" s="0" t="n">
        <v>19.32518</v>
      </c>
      <c r="W72" s="0" t="n">
        <v>19.11589</v>
      </c>
      <c r="X72" s="0" t="n">
        <v>19.17616</v>
      </c>
      <c r="Y72" s="0" t="n">
        <v>19.15889</v>
      </c>
      <c r="Z72" s="0" t="n">
        <v>18.48625</v>
      </c>
      <c r="AA72" s="0" t="n">
        <v>19.39475</v>
      </c>
      <c r="AF72" s="0" t="n">
        <v>13</v>
      </c>
      <c r="AG72" s="0" t="n">
        <v>13</v>
      </c>
      <c r="AH72" s="0" t="n">
        <v>13</v>
      </c>
      <c r="AI72" s="0" t="n">
        <v>29.9</v>
      </c>
      <c r="AJ72" s="0" t="n">
        <v>29.9</v>
      </c>
      <c r="AK72" s="0" t="n">
        <v>29.9</v>
      </c>
      <c r="AL72" s="0" t="n">
        <v>57.07</v>
      </c>
      <c r="AM72" s="0" t="n">
        <v>0</v>
      </c>
      <c r="AN72" s="0" t="n">
        <v>323.31</v>
      </c>
      <c r="AO72" s="0" t="n">
        <v>20918000</v>
      </c>
      <c r="AP72" s="0" t="n">
        <v>94</v>
      </c>
      <c r="AQ72" s="0" t="n">
        <v>0.0377633143863771</v>
      </c>
      <c r="AR72" s="0" t="n">
        <v>0.4632</v>
      </c>
      <c r="AS72" s="0" t="s">
        <v>363</v>
      </c>
      <c r="AT72" s="0" t="s">
        <v>364</v>
      </c>
      <c r="AU72" s="0" t="s">
        <v>365</v>
      </c>
      <c r="AV72" s="0" t="s">
        <v>366</v>
      </c>
      <c r="AW72" s="0" t="s">
        <v>280</v>
      </c>
      <c r="AX72" s="0" t="n">
        <v>102</v>
      </c>
      <c r="AY72" s="0" t="n">
        <v>424</v>
      </c>
      <c r="AZ72" s="0" t="n">
        <v>155</v>
      </c>
    </row>
    <row r="73" customFormat="false" ht="15" hidden="false" customHeight="false" outlineLevel="0" collapsed="false">
      <c r="A73" s="0" t="n">
        <v>16.0111</v>
      </c>
      <c r="B73" s="0" t="n">
        <v>16.82799</v>
      </c>
      <c r="C73" s="0" t="n">
        <v>16.42028</v>
      </c>
      <c r="D73" s="0" t="n">
        <v>16.33703</v>
      </c>
      <c r="E73" s="0" t="n">
        <v>16.45189</v>
      </c>
      <c r="F73" s="0" t="n">
        <v>16.58939</v>
      </c>
      <c r="G73" s="0" t="n">
        <v>16.15284</v>
      </c>
      <c r="H73" s="0" t="n">
        <v>16.54447</v>
      </c>
      <c r="I73" s="0" t="n">
        <v>16.22485</v>
      </c>
      <c r="J73" s="0" t="n">
        <v>16.57512</v>
      </c>
      <c r="K73" s="0" t="n">
        <v>17.31855</v>
      </c>
      <c r="L73" s="0" t="n">
        <v>16.26827</v>
      </c>
      <c r="M73" s="0" t="n">
        <v>16.53682</v>
      </c>
      <c r="N73" s="0" t="n">
        <v>17.68408</v>
      </c>
      <c r="O73" s="0" t="n">
        <v>16.1872</v>
      </c>
      <c r="P73" s="0" t="n">
        <v>16.61439</v>
      </c>
      <c r="Q73" s="0" t="n">
        <v>16.96296</v>
      </c>
      <c r="R73" s="0" t="n">
        <v>16.47002</v>
      </c>
      <c r="S73" s="0" t="n">
        <v>16.0956</v>
      </c>
      <c r="T73" s="0" t="n">
        <v>16.51143</v>
      </c>
      <c r="U73" s="0" t="n">
        <v>15.60322</v>
      </c>
      <c r="V73" s="0" t="n">
        <v>16.64202</v>
      </c>
      <c r="W73" s="0" t="n">
        <v>16.56254</v>
      </c>
      <c r="X73" s="0" t="n">
        <v>18.69636</v>
      </c>
      <c r="Y73" s="0" t="n">
        <v>17.71827</v>
      </c>
      <c r="Z73" s="0" t="n">
        <v>16.91684</v>
      </c>
      <c r="AA73" s="0" t="n">
        <v>17.70725</v>
      </c>
      <c r="AF73" s="0" t="n">
        <v>8</v>
      </c>
      <c r="AG73" s="0" t="n">
        <v>8</v>
      </c>
      <c r="AH73" s="0" t="n">
        <v>8</v>
      </c>
      <c r="AI73" s="0" t="n">
        <v>19.4</v>
      </c>
      <c r="AJ73" s="0" t="n">
        <v>19.4</v>
      </c>
      <c r="AK73" s="0" t="n">
        <v>19.4</v>
      </c>
      <c r="AL73" s="0" t="n">
        <v>68.417</v>
      </c>
      <c r="AM73" s="0" t="n">
        <v>0</v>
      </c>
      <c r="AN73" s="0" t="n">
        <v>5.836</v>
      </c>
      <c r="AO73" s="0" t="n">
        <v>3681600</v>
      </c>
      <c r="AP73" s="0" t="n">
        <v>15</v>
      </c>
      <c r="AQ73" s="0" t="n">
        <v>0.200730924760351</v>
      </c>
      <c r="AR73" s="0" t="n">
        <v>0.702060606060606</v>
      </c>
      <c r="AS73" s="0" t="s">
        <v>367</v>
      </c>
      <c r="AT73" s="0" t="s">
        <v>368</v>
      </c>
      <c r="AU73" s="0" t="s">
        <v>369</v>
      </c>
      <c r="AV73" s="0" t="s">
        <v>370</v>
      </c>
      <c r="AW73" s="0" t="s">
        <v>296</v>
      </c>
      <c r="AZ73" s="0" t="n">
        <v>156</v>
      </c>
    </row>
    <row r="74" customFormat="false" ht="15" hidden="false" customHeight="false" outlineLevel="0" collapsed="false">
      <c r="A74" s="0" t="n">
        <v>20.59732</v>
      </c>
      <c r="B74" s="0" t="n">
        <v>20.80806</v>
      </c>
      <c r="C74" s="0" t="n">
        <v>21.12723</v>
      </c>
      <c r="D74" s="0" t="n">
        <v>20.82734</v>
      </c>
      <c r="E74" s="0" t="n">
        <v>20.50475</v>
      </c>
      <c r="F74" s="0" t="n">
        <v>21.24806</v>
      </c>
      <c r="G74" s="0" t="n">
        <v>20.79463</v>
      </c>
      <c r="H74" s="0" t="n">
        <v>20.48738</v>
      </c>
      <c r="I74" s="0" t="n">
        <v>20.82734</v>
      </c>
      <c r="J74" s="0" t="n">
        <v>20.18544</v>
      </c>
      <c r="K74" s="0" t="n">
        <v>19.13263</v>
      </c>
      <c r="L74" s="0" t="n">
        <v>20.22235</v>
      </c>
      <c r="M74" s="0" t="n">
        <v>19.27449</v>
      </c>
      <c r="N74" s="0" t="n">
        <v>21.22317</v>
      </c>
      <c r="O74" s="0" t="n">
        <v>20.81964</v>
      </c>
      <c r="P74" s="0" t="n">
        <v>19.73089</v>
      </c>
      <c r="Q74" s="0" t="n">
        <v>21.36303</v>
      </c>
      <c r="R74" s="0" t="n">
        <v>20.35917</v>
      </c>
      <c r="S74" s="0" t="n">
        <v>19.61481</v>
      </c>
      <c r="T74" s="0" t="n">
        <v>19.97533</v>
      </c>
      <c r="U74" s="0" t="n">
        <v>21.0547</v>
      </c>
      <c r="V74" s="0" t="n">
        <v>19.64688</v>
      </c>
      <c r="W74" s="0" t="n">
        <v>21.10463</v>
      </c>
      <c r="X74" s="0" t="n">
        <v>20.54217</v>
      </c>
      <c r="Y74" s="0" t="n">
        <v>20.50611</v>
      </c>
      <c r="Z74" s="0" t="n">
        <v>21.02763</v>
      </c>
      <c r="AA74" s="0" t="n">
        <v>18.90448</v>
      </c>
      <c r="AF74" s="0" t="n">
        <v>22</v>
      </c>
      <c r="AG74" s="0" t="n">
        <v>22</v>
      </c>
      <c r="AH74" s="0" t="n">
        <v>22</v>
      </c>
      <c r="AI74" s="0" t="n">
        <v>57.3</v>
      </c>
      <c r="AJ74" s="0" t="n">
        <v>57.3</v>
      </c>
      <c r="AK74" s="0" t="n">
        <v>57.3</v>
      </c>
      <c r="AL74" s="0" t="n">
        <v>45.398</v>
      </c>
      <c r="AM74" s="0" t="n">
        <v>0</v>
      </c>
      <c r="AN74" s="0" t="n">
        <v>323.31</v>
      </c>
      <c r="AO74" s="0" t="n">
        <v>61089000</v>
      </c>
      <c r="AP74" s="0" t="n">
        <v>167</v>
      </c>
      <c r="AQ74" s="0" t="n">
        <v>0.0942617918493002</v>
      </c>
      <c r="AR74" s="0" t="n">
        <v>0.653411764705882</v>
      </c>
      <c r="AS74" s="0" t="s">
        <v>371</v>
      </c>
      <c r="AT74" s="0" t="s">
        <v>372</v>
      </c>
      <c r="AU74" s="0" t="s">
        <v>373</v>
      </c>
      <c r="AV74" s="0" t="s">
        <v>374</v>
      </c>
      <c r="AW74" s="0" t="s">
        <v>375</v>
      </c>
      <c r="AX74" s="0" t="n">
        <v>103</v>
      </c>
      <c r="AY74" s="0" t="n">
        <v>322</v>
      </c>
      <c r="AZ74" s="0" t="n">
        <v>159</v>
      </c>
    </row>
    <row r="75" customFormat="false" ht="15" hidden="false" customHeight="false" outlineLevel="0" collapsed="false">
      <c r="A75" s="0" t="n">
        <v>17.76578</v>
      </c>
      <c r="B75" s="0" t="n">
        <v>18.45004</v>
      </c>
      <c r="C75" s="0" t="n">
        <v>18.42521</v>
      </c>
      <c r="D75" s="0" t="n">
        <v>18.06287</v>
      </c>
      <c r="E75" s="0" t="n">
        <v>18.06055</v>
      </c>
      <c r="F75" s="0" t="n">
        <v>18.37954</v>
      </c>
      <c r="G75" s="0" t="n">
        <v>18.24776</v>
      </c>
      <c r="H75" s="0" t="n">
        <v>18.98198</v>
      </c>
      <c r="I75" s="0" t="n">
        <v>17.87316</v>
      </c>
      <c r="J75" s="0" t="n">
        <v>17.11452</v>
      </c>
      <c r="K75" s="0" t="n">
        <v>16.39942</v>
      </c>
      <c r="L75" s="0" t="n">
        <v>17.66588</v>
      </c>
      <c r="M75" s="0" t="n">
        <v>18.30474</v>
      </c>
      <c r="N75" s="0" t="n">
        <v>16.41277</v>
      </c>
      <c r="O75" s="0" t="n">
        <v>17.87117</v>
      </c>
      <c r="P75" s="0" t="n">
        <v>18.5126</v>
      </c>
      <c r="Q75" s="0" t="n">
        <v>18.78449</v>
      </c>
      <c r="R75" s="0" t="n">
        <v>18.58226</v>
      </c>
      <c r="S75" s="0" t="n">
        <v>18.132</v>
      </c>
      <c r="T75" s="0" t="n">
        <v>18.49451</v>
      </c>
      <c r="U75" s="0" t="n">
        <v>19.50219</v>
      </c>
      <c r="V75" s="0" t="n">
        <v>18.09151</v>
      </c>
      <c r="W75" s="0" t="n">
        <v>18.6131</v>
      </c>
      <c r="X75" s="0" t="n">
        <v>18.845</v>
      </c>
      <c r="Y75" s="0" t="n">
        <v>19.01838</v>
      </c>
      <c r="Z75" s="0" t="n">
        <v>18.54359</v>
      </c>
      <c r="AA75" s="0" t="n">
        <v>19.36072</v>
      </c>
      <c r="AF75" s="0" t="n">
        <v>13</v>
      </c>
      <c r="AG75" s="0" t="n">
        <v>13</v>
      </c>
      <c r="AH75" s="0" t="n">
        <v>13</v>
      </c>
      <c r="AI75" s="0" t="n">
        <v>25.7</v>
      </c>
      <c r="AJ75" s="0" t="n">
        <v>25.7</v>
      </c>
      <c r="AK75" s="0" t="n">
        <v>25.7</v>
      </c>
      <c r="AL75" s="0" t="n">
        <v>75.122</v>
      </c>
      <c r="AM75" s="0" t="n">
        <v>0</v>
      </c>
      <c r="AN75" s="0" t="n">
        <v>45.994</v>
      </c>
      <c r="AO75" s="0" t="n">
        <v>12547000</v>
      </c>
      <c r="AP75" s="0" t="n">
        <v>66</v>
      </c>
      <c r="AQ75" s="0" t="n">
        <v>0.0550272111737722</v>
      </c>
      <c r="AR75" s="0" t="n">
        <v>0.505846153846154</v>
      </c>
      <c r="AS75" s="0" t="s">
        <v>376</v>
      </c>
      <c r="AT75" s="0" t="s">
        <v>377</v>
      </c>
      <c r="AU75" s="0" t="s">
        <v>378</v>
      </c>
      <c r="AV75" s="0" t="s">
        <v>379</v>
      </c>
      <c r="AW75" s="0" t="s">
        <v>280</v>
      </c>
      <c r="AZ75" s="0" t="n">
        <v>160</v>
      </c>
    </row>
    <row r="76" customFormat="false" ht="15" hidden="false" customHeight="false" outlineLevel="0" collapsed="false">
      <c r="A76" s="0" t="n">
        <v>16.20149</v>
      </c>
      <c r="B76" s="0" t="n">
        <v>16.26224</v>
      </c>
      <c r="C76" s="0" t="n">
        <v>16.77483</v>
      </c>
      <c r="D76" s="0" t="n">
        <v>16.44121</v>
      </c>
      <c r="E76" s="0" t="n">
        <v>16.71585</v>
      </c>
      <c r="F76" s="0" t="n">
        <v>16.5448</v>
      </c>
      <c r="G76" s="0" t="n">
        <v>17.64343</v>
      </c>
      <c r="H76" s="0" t="n">
        <v>16.31308</v>
      </c>
      <c r="I76" s="0" t="n">
        <v>16.6851</v>
      </c>
      <c r="J76" s="0" t="n">
        <v>17.74944</v>
      </c>
      <c r="K76" s="0" t="n">
        <v>17.77538</v>
      </c>
      <c r="L76" s="0" t="n">
        <v>18.04655</v>
      </c>
      <c r="M76" s="0" t="n">
        <v>16.8129</v>
      </c>
      <c r="N76" s="0" t="n">
        <v>17.27703</v>
      </c>
      <c r="O76" s="0" t="n">
        <v>18.48306</v>
      </c>
      <c r="P76" s="0" t="n">
        <v>16.4145</v>
      </c>
      <c r="Q76" s="0" t="n">
        <v>16.74859</v>
      </c>
      <c r="R76" s="0" t="n">
        <v>16.17857</v>
      </c>
      <c r="S76" s="0" t="n">
        <v>16.42216</v>
      </c>
      <c r="T76" s="0" t="n">
        <v>16.48651</v>
      </c>
      <c r="U76" s="0" t="n">
        <v>17.43949</v>
      </c>
      <c r="V76" s="0" t="n">
        <v>16.27132</v>
      </c>
      <c r="W76" s="0" t="n">
        <v>17.62092</v>
      </c>
      <c r="X76" s="0" t="n">
        <v>17.70286</v>
      </c>
      <c r="Y76" s="0" t="n">
        <v>17.85075</v>
      </c>
      <c r="Z76" s="0" t="n">
        <v>17.26114</v>
      </c>
      <c r="AA76" s="0" t="n">
        <v>18.12182</v>
      </c>
      <c r="AF76" s="0" t="n">
        <v>12</v>
      </c>
      <c r="AG76" s="0" t="n">
        <v>12</v>
      </c>
      <c r="AH76" s="0" t="n">
        <v>12</v>
      </c>
      <c r="AI76" s="0" t="n">
        <v>30.5</v>
      </c>
      <c r="AJ76" s="0" t="n">
        <v>30.5</v>
      </c>
      <c r="AK76" s="0" t="n">
        <v>30.5</v>
      </c>
      <c r="AL76" s="0" t="n">
        <v>65.163</v>
      </c>
      <c r="AM76" s="0" t="n">
        <v>0</v>
      </c>
      <c r="AN76" s="0" t="n">
        <v>16.201</v>
      </c>
      <c r="AO76" s="0" t="n">
        <v>5599500</v>
      </c>
      <c r="AP76" s="0" t="n">
        <v>37</v>
      </c>
      <c r="AQ76" s="0" t="n">
        <v>0.174718786065365</v>
      </c>
      <c r="AR76" s="0" t="n">
        <v>0.785846153846154</v>
      </c>
      <c r="AS76" s="0" t="s">
        <v>380</v>
      </c>
      <c r="AT76" s="0" t="s">
        <v>380</v>
      </c>
      <c r="AU76" s="0" t="s">
        <v>381</v>
      </c>
      <c r="AV76" s="0" t="s">
        <v>382</v>
      </c>
      <c r="AW76" s="0" t="s">
        <v>140</v>
      </c>
      <c r="AZ76" s="0" t="n">
        <v>161</v>
      </c>
    </row>
    <row r="77" customFormat="false" ht="15" hidden="false" customHeight="false" outlineLevel="0" collapsed="false">
      <c r="A77" s="0" t="n">
        <v>17.30126</v>
      </c>
      <c r="B77" s="0" t="n">
        <v>18.09104</v>
      </c>
      <c r="C77" s="0" t="n">
        <v>17.72224</v>
      </c>
      <c r="D77" s="0" t="n">
        <v>17.90059</v>
      </c>
      <c r="E77" s="0" t="n">
        <v>18.5273</v>
      </c>
      <c r="F77" s="0" t="n">
        <v>17.38085</v>
      </c>
      <c r="G77" s="0" t="n">
        <v>17.97113</v>
      </c>
      <c r="H77" s="0" t="n">
        <v>18.27344</v>
      </c>
      <c r="I77" s="0" t="n">
        <v>17.78366</v>
      </c>
      <c r="J77" s="0" t="n">
        <v>16.74426</v>
      </c>
      <c r="K77" s="0" t="n">
        <v>16.89447</v>
      </c>
      <c r="L77" s="0" t="n">
        <v>17.16084</v>
      </c>
      <c r="M77" s="0" t="n">
        <v>18.77298</v>
      </c>
      <c r="N77" s="0" t="n">
        <v>18.74383</v>
      </c>
      <c r="O77" s="0" t="n">
        <v>17.09959</v>
      </c>
      <c r="P77" s="0" t="n">
        <v>17.92526</v>
      </c>
      <c r="Q77" s="0" t="n">
        <v>18.921</v>
      </c>
      <c r="R77" s="0" t="n">
        <v>17.80857</v>
      </c>
      <c r="S77" s="0" t="n">
        <v>17.92178</v>
      </c>
      <c r="T77" s="0" t="n">
        <v>17.75558</v>
      </c>
      <c r="U77" s="0" t="n">
        <v>18.82364</v>
      </c>
      <c r="V77" s="0" t="n">
        <v>17.11604</v>
      </c>
      <c r="W77" s="0" t="n">
        <v>18.57659</v>
      </c>
      <c r="X77" s="0" t="n">
        <v>19.16221</v>
      </c>
      <c r="Y77" s="0" t="n">
        <v>19.24486</v>
      </c>
      <c r="Z77" s="0" t="n">
        <v>16.60001</v>
      </c>
      <c r="AA77" s="0" t="n">
        <v>19.21559</v>
      </c>
      <c r="AF77" s="0" t="n">
        <v>13</v>
      </c>
      <c r="AG77" s="0" t="n">
        <v>13</v>
      </c>
      <c r="AH77" s="0" t="n">
        <v>13</v>
      </c>
      <c r="AI77" s="0" t="n">
        <v>36.2</v>
      </c>
      <c r="AJ77" s="0" t="n">
        <v>36.2</v>
      </c>
      <c r="AK77" s="0" t="n">
        <v>36.2</v>
      </c>
      <c r="AL77" s="0" t="n">
        <v>67.046</v>
      </c>
      <c r="AM77" s="0" t="n">
        <v>0</v>
      </c>
      <c r="AN77" s="0" t="n">
        <v>45.821</v>
      </c>
      <c r="AO77" s="0" t="n">
        <v>10646000</v>
      </c>
      <c r="AP77" s="0" t="n">
        <v>54</v>
      </c>
      <c r="AQ77" s="0" t="n">
        <v>0.511695266666836</v>
      </c>
      <c r="AR77" s="0" t="n">
        <v>0.867151515151515</v>
      </c>
      <c r="AS77" s="0" t="s">
        <v>383</v>
      </c>
      <c r="AT77" s="0" t="s">
        <v>383</v>
      </c>
      <c r="AU77" s="0" t="s">
        <v>384</v>
      </c>
      <c r="AV77" s="0" t="s">
        <v>385</v>
      </c>
      <c r="AW77" s="0" t="s">
        <v>280</v>
      </c>
      <c r="AX77" s="0" t="n">
        <v>104</v>
      </c>
      <c r="AY77" s="0" t="n">
        <v>312</v>
      </c>
      <c r="AZ77" s="0" t="n">
        <v>162</v>
      </c>
    </row>
    <row r="78" customFormat="false" ht="15" hidden="false" customHeight="false" outlineLevel="0" collapsed="false">
      <c r="A78" s="0" t="n">
        <v>17.62649</v>
      </c>
      <c r="B78" s="0" t="n">
        <v>18.19816</v>
      </c>
      <c r="C78" s="0" t="n">
        <v>17.79127</v>
      </c>
      <c r="D78" s="0" t="n">
        <v>18.47183</v>
      </c>
      <c r="E78" s="0" t="n">
        <v>18.51768</v>
      </c>
      <c r="F78" s="0" t="n">
        <v>18.22515</v>
      </c>
      <c r="G78" s="0" t="n">
        <v>17.46818</v>
      </c>
      <c r="H78" s="0" t="n">
        <v>17.9124</v>
      </c>
      <c r="I78" s="0" t="n">
        <v>18.54435</v>
      </c>
      <c r="J78" s="0" t="n">
        <v>19.03896</v>
      </c>
      <c r="K78" s="0" t="n">
        <v>15.82577</v>
      </c>
      <c r="L78" s="0" t="n">
        <v>17.20801</v>
      </c>
      <c r="M78" s="0" t="n">
        <v>18.53382</v>
      </c>
      <c r="N78" s="0" t="n">
        <v>19.48638</v>
      </c>
      <c r="O78" s="0" t="n">
        <v>16.8825</v>
      </c>
      <c r="P78" s="0" t="n">
        <v>17.92515</v>
      </c>
      <c r="Q78" s="0" t="n">
        <v>18.16992</v>
      </c>
      <c r="R78" s="0" t="n">
        <v>18.59467</v>
      </c>
      <c r="S78" s="0" t="n">
        <v>18.3107</v>
      </c>
      <c r="T78" s="0" t="n">
        <v>18.38132</v>
      </c>
      <c r="U78" s="0" t="n">
        <v>18.4433</v>
      </c>
      <c r="V78" s="0" t="n">
        <v>18.19215</v>
      </c>
      <c r="W78" s="0" t="n">
        <v>18.92141</v>
      </c>
      <c r="X78" s="0" t="n">
        <v>19.03408</v>
      </c>
      <c r="Y78" s="0" t="n">
        <v>18.71112</v>
      </c>
      <c r="Z78" s="0" t="n">
        <v>19.0033</v>
      </c>
      <c r="AA78" s="0" t="n">
        <v>18.32246</v>
      </c>
      <c r="AF78" s="0" t="n">
        <v>7</v>
      </c>
      <c r="AG78" s="0" t="n">
        <v>7</v>
      </c>
      <c r="AH78" s="0" t="n">
        <v>7</v>
      </c>
      <c r="AI78" s="0" t="n">
        <v>45</v>
      </c>
      <c r="AJ78" s="0" t="n">
        <v>45</v>
      </c>
      <c r="AK78" s="0" t="n">
        <v>45</v>
      </c>
      <c r="AL78" s="0" t="n">
        <v>22.277</v>
      </c>
      <c r="AM78" s="0" t="n">
        <v>0</v>
      </c>
      <c r="AN78" s="0" t="n">
        <v>42.344</v>
      </c>
      <c r="AO78" s="0" t="n">
        <v>11738000</v>
      </c>
      <c r="AP78" s="0" t="n">
        <v>40</v>
      </c>
      <c r="AQ78" s="0" t="n">
        <v>0.181861012256203</v>
      </c>
      <c r="AR78" s="0" t="n">
        <v>0.787259259259259</v>
      </c>
      <c r="AS78" s="0" t="s">
        <v>386</v>
      </c>
      <c r="AT78" s="0" t="s">
        <v>387</v>
      </c>
      <c r="AU78" s="0" t="s">
        <v>388</v>
      </c>
      <c r="AV78" s="0" t="s">
        <v>389</v>
      </c>
      <c r="AW78" s="0" t="s">
        <v>150</v>
      </c>
      <c r="AZ78" s="0" t="n">
        <v>163</v>
      </c>
    </row>
    <row r="79" customFormat="false" ht="15" hidden="false" customHeight="false" outlineLevel="0" collapsed="false">
      <c r="A79" s="0" t="n">
        <v>17.29894</v>
      </c>
      <c r="B79" s="0" t="n">
        <v>17.88697</v>
      </c>
      <c r="C79" s="0" t="n">
        <v>18.46981</v>
      </c>
      <c r="D79" s="0" t="n">
        <v>17.81616</v>
      </c>
      <c r="E79" s="0" t="n">
        <v>17.53062</v>
      </c>
      <c r="F79" s="0" t="n">
        <v>19.3057</v>
      </c>
      <c r="G79" s="0" t="n">
        <v>18.44593</v>
      </c>
      <c r="H79" s="0" t="n">
        <v>19.05104</v>
      </c>
      <c r="I79" s="0" t="n">
        <v>18.27139</v>
      </c>
      <c r="J79" s="0" t="n">
        <v>18.11807</v>
      </c>
      <c r="K79" s="0" t="n">
        <v>17.34252</v>
      </c>
      <c r="L79" s="0" t="n">
        <v>18.21457</v>
      </c>
      <c r="M79" s="0" t="n">
        <v>20.2739</v>
      </c>
      <c r="N79" s="0" t="n">
        <v>17.49755</v>
      </c>
      <c r="O79" s="0" t="n">
        <v>16.39361</v>
      </c>
      <c r="P79" s="0" t="n">
        <v>18.39456</v>
      </c>
      <c r="Q79" s="0" t="n">
        <v>18.03166</v>
      </c>
      <c r="R79" s="0" t="n">
        <v>18.29069</v>
      </c>
      <c r="S79" s="0" t="n">
        <v>17.88876</v>
      </c>
      <c r="T79" s="0" t="n">
        <v>18.50804</v>
      </c>
      <c r="U79" s="0" t="n">
        <v>18.89995</v>
      </c>
      <c r="V79" s="0" t="n">
        <v>18.06471</v>
      </c>
      <c r="W79" s="0" t="n">
        <v>18.47005</v>
      </c>
      <c r="X79" s="0" t="n">
        <v>18.62435</v>
      </c>
      <c r="Y79" s="0" t="n">
        <v>18.52822</v>
      </c>
      <c r="Z79" s="0" t="n">
        <v>17.17806</v>
      </c>
      <c r="AA79" s="0" t="n">
        <v>18.29988</v>
      </c>
      <c r="AF79" s="0" t="n">
        <v>7</v>
      </c>
      <c r="AG79" s="0" t="n">
        <v>7</v>
      </c>
      <c r="AH79" s="0" t="n">
        <v>7</v>
      </c>
      <c r="AI79" s="0" t="n">
        <v>24.7</v>
      </c>
      <c r="AJ79" s="0" t="n">
        <v>24.7</v>
      </c>
      <c r="AK79" s="0" t="n">
        <v>24.7</v>
      </c>
      <c r="AL79" s="0" t="n">
        <v>45.14</v>
      </c>
      <c r="AM79" s="0" t="n">
        <v>0</v>
      </c>
      <c r="AN79" s="0" t="n">
        <v>37.299</v>
      </c>
      <c r="AO79" s="0" t="n">
        <v>12827000</v>
      </c>
      <c r="AP79" s="0" t="n">
        <v>68</v>
      </c>
      <c r="AQ79" s="0" t="n">
        <v>0.913127587842672</v>
      </c>
      <c r="AR79" s="0" t="n">
        <v>0.97409900990099</v>
      </c>
      <c r="AS79" s="0" t="s">
        <v>390</v>
      </c>
      <c r="AT79" s="0" t="s">
        <v>391</v>
      </c>
      <c r="AU79" s="0" t="s">
        <v>392</v>
      </c>
      <c r="AV79" s="0" t="s">
        <v>393</v>
      </c>
      <c r="AW79" s="0" t="s">
        <v>150</v>
      </c>
      <c r="AX79" s="0" t="n">
        <v>105</v>
      </c>
      <c r="AY79" s="0" t="n">
        <v>273</v>
      </c>
      <c r="AZ79" s="0" t="n">
        <v>165</v>
      </c>
    </row>
    <row r="80" customFormat="false" ht="15" hidden="false" customHeight="false" outlineLevel="0" collapsed="false">
      <c r="A80" s="0" t="n">
        <v>21.97197</v>
      </c>
      <c r="B80" s="0" t="n">
        <v>22.17329</v>
      </c>
      <c r="C80" s="0" t="n">
        <v>22.40901</v>
      </c>
      <c r="D80" s="0" t="n">
        <v>22.33451</v>
      </c>
      <c r="E80" s="0" t="n">
        <v>22.5644</v>
      </c>
      <c r="F80" s="0" t="n">
        <v>22.62723</v>
      </c>
      <c r="G80" s="0" t="n">
        <v>22.15755</v>
      </c>
      <c r="H80" s="0" t="n">
        <v>21.64522</v>
      </c>
      <c r="I80" s="0" t="n">
        <v>22.24818</v>
      </c>
      <c r="J80" s="0" t="n">
        <v>22.93837</v>
      </c>
      <c r="K80" s="0" t="n">
        <v>21.90665</v>
      </c>
      <c r="L80" s="0" t="n">
        <v>22.64926</v>
      </c>
      <c r="M80" s="0" t="n">
        <v>22.10409</v>
      </c>
      <c r="N80" s="0" t="n">
        <v>22.1283</v>
      </c>
      <c r="O80" s="0" t="n">
        <v>22.48358</v>
      </c>
      <c r="P80" s="0" t="n">
        <v>21.96258</v>
      </c>
      <c r="Q80" s="0" t="n">
        <v>22.17539</v>
      </c>
      <c r="R80" s="0" t="n">
        <v>22.05086</v>
      </c>
      <c r="S80" s="0" t="n">
        <v>22.29541</v>
      </c>
      <c r="T80" s="0" t="n">
        <v>22.22682</v>
      </c>
      <c r="U80" s="0" t="n">
        <v>22.4938</v>
      </c>
      <c r="V80" s="0" t="n">
        <v>22.51396</v>
      </c>
      <c r="W80" s="0" t="n">
        <v>22.37162</v>
      </c>
      <c r="X80" s="0" t="n">
        <v>22.48134</v>
      </c>
      <c r="Y80" s="0" t="n">
        <v>22.5106</v>
      </c>
      <c r="Z80" s="0" t="n">
        <v>22.70841</v>
      </c>
      <c r="AA80" s="0" t="n">
        <v>22.64889</v>
      </c>
      <c r="AF80" s="0" t="n">
        <v>50</v>
      </c>
      <c r="AG80" s="0" t="n">
        <v>50</v>
      </c>
      <c r="AH80" s="0" t="n">
        <v>45</v>
      </c>
      <c r="AI80" s="0" t="n">
        <v>52.1</v>
      </c>
      <c r="AJ80" s="0" t="n">
        <v>52.1</v>
      </c>
      <c r="AK80" s="0" t="n">
        <v>46.4</v>
      </c>
      <c r="AL80" s="0" t="n">
        <v>139.09</v>
      </c>
      <c r="AM80" s="0" t="n">
        <v>0</v>
      </c>
      <c r="AN80" s="0" t="n">
        <v>323.31</v>
      </c>
      <c r="AO80" s="0" t="n">
        <v>208960000</v>
      </c>
      <c r="AP80" s="0" t="n">
        <v>515</v>
      </c>
      <c r="AQ80" s="0" t="n">
        <v>0.110431900394034</v>
      </c>
      <c r="AR80" s="0" t="n">
        <v>0.6552</v>
      </c>
      <c r="AS80" s="0" t="s">
        <v>394</v>
      </c>
      <c r="AT80" s="0" t="s">
        <v>395</v>
      </c>
      <c r="AU80" s="0" t="s">
        <v>396</v>
      </c>
      <c r="AV80" s="0" t="s">
        <v>397</v>
      </c>
      <c r="AW80" s="0" t="s">
        <v>398</v>
      </c>
      <c r="AX80" s="0" t="s">
        <v>399</v>
      </c>
      <c r="AY80" s="0" t="s">
        <v>400</v>
      </c>
      <c r="AZ80" s="0" t="n">
        <v>167</v>
      </c>
    </row>
    <row r="81" customFormat="false" ht="15" hidden="false" customHeight="false" outlineLevel="0" collapsed="false">
      <c r="A81" s="0" t="n">
        <v>16.78596</v>
      </c>
      <c r="B81" s="0" t="n">
        <v>18.05648</v>
      </c>
      <c r="C81" s="0" t="n">
        <v>15.69936</v>
      </c>
      <c r="D81" s="0" t="n">
        <v>14.44074</v>
      </c>
      <c r="E81" s="0" t="n">
        <v>16.72014</v>
      </c>
      <c r="F81" s="0" t="n">
        <v>16.60659</v>
      </c>
      <c r="G81" s="0" t="n">
        <v>16.97074</v>
      </c>
      <c r="H81" s="0" t="n">
        <v>18.47524</v>
      </c>
      <c r="I81" s="0" t="n">
        <v>16.42244</v>
      </c>
      <c r="J81" s="0" t="n">
        <v>16.16857</v>
      </c>
      <c r="K81" s="0" t="n">
        <v>17.58701</v>
      </c>
      <c r="L81" s="0" t="n">
        <v>20.27185</v>
      </c>
      <c r="M81" s="0" t="n">
        <v>18.03676</v>
      </c>
      <c r="N81" s="0" t="n">
        <v>18.40736</v>
      </c>
      <c r="O81" s="0" t="n">
        <v>19.17959</v>
      </c>
      <c r="P81" s="0" t="n">
        <v>17.28446</v>
      </c>
      <c r="Q81" s="0" t="n">
        <v>18.10585</v>
      </c>
      <c r="R81" s="0" t="n">
        <v>17.806</v>
      </c>
      <c r="S81" s="0" t="n">
        <v>16.92021</v>
      </c>
      <c r="T81" s="0" t="n">
        <v>17.12485</v>
      </c>
      <c r="U81" s="0" t="n">
        <v>19.54764</v>
      </c>
      <c r="V81" s="0" t="n">
        <v>18.38545</v>
      </c>
      <c r="W81" s="0" t="n">
        <v>20.13884</v>
      </c>
      <c r="X81" s="0" t="n">
        <v>19.62501</v>
      </c>
      <c r="Y81" s="0" t="n">
        <v>19.50798</v>
      </c>
      <c r="Z81" s="0" t="n">
        <v>18.38119</v>
      </c>
      <c r="AA81" s="0" t="n">
        <v>19.01258</v>
      </c>
      <c r="AE81" s="0" t="s">
        <v>401</v>
      </c>
      <c r="AF81" s="0" t="n">
        <v>7</v>
      </c>
      <c r="AG81" s="0" t="n">
        <v>7</v>
      </c>
      <c r="AH81" s="0" t="n">
        <v>7</v>
      </c>
      <c r="AI81" s="0" t="n">
        <v>20.6</v>
      </c>
      <c r="AJ81" s="0" t="n">
        <v>20.6</v>
      </c>
      <c r="AK81" s="0" t="n">
        <v>20.6</v>
      </c>
      <c r="AL81" s="0" t="n">
        <v>54.565</v>
      </c>
      <c r="AM81" s="0" t="n">
        <v>0</v>
      </c>
      <c r="AN81" s="0" t="n">
        <v>21.631</v>
      </c>
      <c r="AO81" s="0" t="n">
        <v>13226000</v>
      </c>
      <c r="AP81" s="0" t="n">
        <v>30</v>
      </c>
      <c r="AQ81" s="0" t="n">
        <v>0.000348247140095455</v>
      </c>
      <c r="AR81" s="0" t="n">
        <v>0.036</v>
      </c>
      <c r="AS81" s="0" t="s">
        <v>402</v>
      </c>
      <c r="AT81" s="0" t="s">
        <v>403</v>
      </c>
      <c r="AU81" s="0" t="s">
        <v>404</v>
      </c>
      <c r="AV81" s="0" t="s">
        <v>405</v>
      </c>
      <c r="AW81" s="0" t="s">
        <v>150</v>
      </c>
      <c r="AZ81" s="0" t="n">
        <v>168</v>
      </c>
    </row>
    <row r="82" customFormat="false" ht="15" hidden="false" customHeight="false" outlineLevel="0" collapsed="false">
      <c r="A82" s="0" t="n">
        <v>18.58699</v>
      </c>
      <c r="B82" s="0" t="n">
        <v>18.25331</v>
      </c>
      <c r="C82" s="0" t="n">
        <v>18.39028</v>
      </c>
      <c r="D82" s="0" t="n">
        <v>18.51918</v>
      </c>
      <c r="E82" s="0" t="n">
        <v>19.53056</v>
      </c>
      <c r="F82" s="0" t="n">
        <v>19.07243</v>
      </c>
      <c r="G82" s="0" t="n">
        <v>17.79329</v>
      </c>
      <c r="H82" s="0" t="n">
        <v>18.64867</v>
      </c>
      <c r="I82" s="0" t="n">
        <v>18.41584</v>
      </c>
      <c r="J82" s="0" t="n">
        <v>15.99429</v>
      </c>
      <c r="K82" s="0" t="n">
        <v>16.27852</v>
      </c>
      <c r="L82" s="0" t="n">
        <v>17.19075</v>
      </c>
      <c r="M82" s="0" t="n">
        <v>17.11837</v>
      </c>
      <c r="N82" s="0" t="n">
        <v>18.35544</v>
      </c>
      <c r="O82" s="0" t="n">
        <v>17.65788</v>
      </c>
      <c r="P82" s="0" t="n">
        <v>18.67332</v>
      </c>
      <c r="Q82" s="0" t="n">
        <v>18.93718</v>
      </c>
      <c r="R82" s="0" t="n">
        <v>19.03115</v>
      </c>
      <c r="S82" s="0" t="n">
        <v>18.68692</v>
      </c>
      <c r="T82" s="0" t="n">
        <v>18.42185</v>
      </c>
      <c r="U82" s="0" t="n">
        <v>17.91357</v>
      </c>
      <c r="V82" s="0" t="n">
        <v>17.06213</v>
      </c>
      <c r="W82" s="0" t="n">
        <v>19.24088</v>
      </c>
      <c r="X82" s="0" t="n">
        <v>18.74652</v>
      </c>
      <c r="Y82" s="0" t="n">
        <v>19.26531</v>
      </c>
      <c r="Z82" s="0" t="n">
        <v>19.72296</v>
      </c>
      <c r="AA82" s="0" t="n">
        <v>19.25815</v>
      </c>
      <c r="AF82" s="0" t="n">
        <v>64</v>
      </c>
      <c r="AG82" s="0" t="n">
        <v>1</v>
      </c>
      <c r="AH82" s="0" t="n">
        <v>0</v>
      </c>
      <c r="AI82" s="0" t="n">
        <v>46.4</v>
      </c>
      <c r="AJ82" s="0" t="n">
        <v>1.5</v>
      </c>
      <c r="AK82" s="0" t="n">
        <v>0</v>
      </c>
      <c r="AL82" s="0" t="n">
        <v>192.78</v>
      </c>
      <c r="AM82" s="0" t="n">
        <v>0</v>
      </c>
      <c r="AN82" s="0" t="n">
        <v>9.3133</v>
      </c>
      <c r="AO82" s="0" t="n">
        <v>14319000</v>
      </c>
      <c r="AP82" s="0" t="n">
        <v>28</v>
      </c>
      <c r="AQ82" s="0" t="n">
        <v>0.195630323299178</v>
      </c>
      <c r="AR82" s="0" t="n">
        <v>0.732129032258064</v>
      </c>
      <c r="AS82" s="0" t="s">
        <v>406</v>
      </c>
      <c r="AT82" s="0" t="s">
        <v>406</v>
      </c>
      <c r="AU82" s="0" t="s">
        <v>407</v>
      </c>
      <c r="AV82" s="0" t="s">
        <v>408</v>
      </c>
      <c r="AW82" s="0" t="s">
        <v>409</v>
      </c>
      <c r="AX82" s="0" t="s">
        <v>410</v>
      </c>
      <c r="AY82" s="0" t="s">
        <v>411</v>
      </c>
      <c r="AZ82" s="0" t="n">
        <v>169</v>
      </c>
    </row>
    <row r="83" customFormat="false" ht="15" hidden="false" customHeight="false" outlineLevel="0" collapsed="false">
      <c r="A83" s="0" t="n">
        <v>22.49641</v>
      </c>
      <c r="B83" s="0" t="n">
        <v>23.91306</v>
      </c>
      <c r="C83" s="0" t="n">
        <v>23.68699</v>
      </c>
      <c r="D83" s="0" t="n">
        <v>22.95977</v>
      </c>
      <c r="E83" s="0" t="n">
        <v>23.96728</v>
      </c>
      <c r="F83" s="0" t="n">
        <v>23.25638</v>
      </c>
      <c r="G83" s="0" t="n">
        <v>22.51836</v>
      </c>
      <c r="H83" s="0" t="n">
        <v>23.42278</v>
      </c>
      <c r="I83" s="0" t="n">
        <v>23.40484</v>
      </c>
      <c r="J83" s="0" t="n">
        <v>23.88008</v>
      </c>
      <c r="K83" s="0" t="n">
        <v>22.10265</v>
      </c>
      <c r="L83" s="0" t="n">
        <v>23.0641</v>
      </c>
      <c r="M83" s="0" t="n">
        <v>23.01813</v>
      </c>
      <c r="N83" s="0" t="n">
        <v>23.98963</v>
      </c>
      <c r="O83" s="0" t="n">
        <v>22.5852</v>
      </c>
      <c r="P83" s="0" t="n">
        <v>23.6903</v>
      </c>
      <c r="Q83" s="0" t="n">
        <v>23.24506</v>
      </c>
      <c r="R83" s="0" t="n">
        <v>23.88213</v>
      </c>
      <c r="S83" s="0" t="n">
        <v>23.81264</v>
      </c>
      <c r="T83" s="0" t="n">
        <v>22.86637</v>
      </c>
      <c r="U83" s="0" t="n">
        <v>24.08999</v>
      </c>
      <c r="V83" s="0" t="n">
        <v>23.21804</v>
      </c>
      <c r="W83" s="0" t="n">
        <v>24.06489</v>
      </c>
      <c r="X83" s="0" t="n">
        <v>23.6093</v>
      </c>
      <c r="Y83" s="0" t="n">
        <v>23.86448</v>
      </c>
      <c r="Z83" s="0" t="n">
        <v>23.18312</v>
      </c>
      <c r="AA83" s="0" t="n">
        <v>23.73376</v>
      </c>
      <c r="AF83" s="0" t="n">
        <v>64</v>
      </c>
      <c r="AG83" s="0" t="n">
        <v>64</v>
      </c>
      <c r="AH83" s="0" t="n">
        <v>1</v>
      </c>
      <c r="AI83" s="0" t="n">
        <v>46.7</v>
      </c>
      <c r="AJ83" s="0" t="n">
        <v>46.7</v>
      </c>
      <c r="AK83" s="0" t="n">
        <v>1</v>
      </c>
      <c r="AL83" s="0" t="n">
        <v>192.75</v>
      </c>
      <c r="AM83" s="0" t="n">
        <v>0</v>
      </c>
      <c r="AN83" s="0" t="n">
        <v>323.31</v>
      </c>
      <c r="AO83" s="0" t="n">
        <v>431990000</v>
      </c>
      <c r="AP83" s="0" t="n">
        <v>868</v>
      </c>
      <c r="AQ83" s="0" t="n">
        <v>0.340021873762413</v>
      </c>
      <c r="AR83" s="0" t="n">
        <v>0.878909090909091</v>
      </c>
      <c r="AS83" s="0" t="s">
        <v>412</v>
      </c>
      <c r="AT83" s="0" t="s">
        <v>412</v>
      </c>
      <c r="AU83" s="0" t="s">
        <v>413</v>
      </c>
      <c r="AV83" s="0" t="s">
        <v>414</v>
      </c>
      <c r="AW83" s="0" t="s">
        <v>415</v>
      </c>
      <c r="AX83" s="0" t="s">
        <v>101</v>
      </c>
      <c r="AY83" s="0" t="s">
        <v>102</v>
      </c>
      <c r="AZ83" s="0" t="n">
        <v>170</v>
      </c>
    </row>
    <row r="84" customFormat="false" ht="15" hidden="false" customHeight="false" outlineLevel="0" collapsed="false">
      <c r="A84" s="0" t="n">
        <v>18.69374</v>
      </c>
      <c r="B84" s="0" t="n">
        <v>18.83356</v>
      </c>
      <c r="C84" s="0" t="n">
        <v>17.20275</v>
      </c>
      <c r="D84" s="0" t="n">
        <v>18.99206</v>
      </c>
      <c r="E84" s="0" t="n">
        <v>18.64969</v>
      </c>
      <c r="F84" s="0" t="n">
        <v>19.44982</v>
      </c>
      <c r="G84" s="0" t="n">
        <v>17.92515</v>
      </c>
      <c r="H84" s="0" t="n">
        <v>18.83334</v>
      </c>
      <c r="I84" s="0" t="n">
        <v>19.15613</v>
      </c>
      <c r="J84" s="0" t="n">
        <v>19.31374</v>
      </c>
      <c r="K84" s="0" t="n">
        <v>17.11717</v>
      </c>
      <c r="L84" s="0" t="n">
        <v>17.214</v>
      </c>
      <c r="M84" s="0" t="n">
        <v>18.70887</v>
      </c>
      <c r="N84" s="0" t="n">
        <v>19.26568</v>
      </c>
      <c r="O84" s="0" t="n">
        <v>18.10564</v>
      </c>
      <c r="P84" s="0" t="n">
        <v>18.13996</v>
      </c>
      <c r="Q84" s="0" t="n">
        <v>18.12182</v>
      </c>
      <c r="R84" s="0" t="n">
        <v>18.79893</v>
      </c>
      <c r="S84" s="0" t="n">
        <v>18.31026</v>
      </c>
      <c r="T84" s="0" t="n">
        <v>18.72371</v>
      </c>
      <c r="U84" s="0" t="n">
        <v>19.21904</v>
      </c>
      <c r="V84" s="0" t="n">
        <v>18.92094</v>
      </c>
      <c r="W84" s="0" t="n">
        <v>18.71028</v>
      </c>
      <c r="X84" s="0" t="n">
        <v>18.35173</v>
      </c>
      <c r="Y84" s="0" t="n">
        <v>18.623</v>
      </c>
      <c r="Z84" s="0" t="n">
        <v>19.37173</v>
      </c>
      <c r="AA84" s="0" t="n">
        <v>18.09476</v>
      </c>
      <c r="AF84" s="0" t="n">
        <v>18</v>
      </c>
      <c r="AG84" s="0" t="n">
        <v>18</v>
      </c>
      <c r="AH84" s="0" t="n">
        <v>18</v>
      </c>
      <c r="AI84" s="0" t="n">
        <v>37.2</v>
      </c>
      <c r="AJ84" s="0" t="n">
        <v>37.2</v>
      </c>
      <c r="AK84" s="0" t="n">
        <v>37.2</v>
      </c>
      <c r="AL84" s="0" t="n">
        <v>93.517</v>
      </c>
      <c r="AM84" s="0" t="n">
        <v>0</v>
      </c>
      <c r="AN84" s="0" t="n">
        <v>32.874</v>
      </c>
      <c r="AO84" s="0" t="n">
        <v>15388000</v>
      </c>
      <c r="AP84" s="0" t="n">
        <v>89</v>
      </c>
      <c r="AQ84" s="0" t="n">
        <v>0.444636330770483</v>
      </c>
      <c r="AR84" s="0" t="n">
        <v>0.876350877192982</v>
      </c>
      <c r="AS84" s="0" t="s">
        <v>416</v>
      </c>
      <c r="AT84" s="0" t="s">
        <v>417</v>
      </c>
      <c r="AU84" s="0" t="s">
        <v>418</v>
      </c>
      <c r="AV84" s="0" t="s">
        <v>419</v>
      </c>
      <c r="AW84" s="0" t="s">
        <v>69</v>
      </c>
      <c r="AZ84" s="0" t="n">
        <v>172</v>
      </c>
    </row>
    <row r="85" customFormat="false" ht="15" hidden="false" customHeight="false" outlineLevel="0" collapsed="false">
      <c r="A85" s="0" t="n">
        <v>20.60159</v>
      </c>
      <c r="B85" s="0" t="n">
        <v>20.8578</v>
      </c>
      <c r="C85" s="0" t="n">
        <v>21.23316</v>
      </c>
      <c r="D85" s="0" t="n">
        <v>21.76255</v>
      </c>
      <c r="E85" s="0" t="n">
        <v>21.02513</v>
      </c>
      <c r="F85" s="0" t="n">
        <v>21.01134</v>
      </c>
      <c r="G85" s="0" t="n">
        <v>20.42726</v>
      </c>
      <c r="H85" s="0" t="n">
        <v>20.94578</v>
      </c>
      <c r="I85" s="0" t="n">
        <v>20.98635</v>
      </c>
      <c r="J85" s="0" t="n">
        <v>21.71574</v>
      </c>
      <c r="K85" s="0" t="n">
        <v>21.04313</v>
      </c>
      <c r="L85" s="0" t="n">
        <v>20.8717</v>
      </c>
      <c r="M85" s="0" t="n">
        <v>20.99886</v>
      </c>
      <c r="N85" s="0" t="n">
        <v>17.26453</v>
      </c>
      <c r="O85" s="0" t="n">
        <v>21.81515</v>
      </c>
      <c r="P85" s="0" t="n">
        <v>20.84053</v>
      </c>
      <c r="Q85" s="0" t="n">
        <v>20.69439</v>
      </c>
      <c r="R85" s="0" t="n">
        <v>20.45523</v>
      </c>
      <c r="S85" s="0" t="n">
        <v>20.80625</v>
      </c>
      <c r="T85" s="0" t="n">
        <v>21.10942</v>
      </c>
      <c r="U85" s="0" t="n">
        <v>21.45036</v>
      </c>
      <c r="V85" s="0" t="n">
        <v>21.79891</v>
      </c>
      <c r="W85" s="0" t="n">
        <v>21.30145</v>
      </c>
      <c r="X85" s="0" t="n">
        <v>21.42157</v>
      </c>
      <c r="Y85" s="0" t="n">
        <v>21.39305</v>
      </c>
      <c r="Z85" s="0" t="n">
        <v>21.64619</v>
      </c>
      <c r="AA85" s="0" t="n">
        <v>21.43206</v>
      </c>
      <c r="AF85" s="0" t="n">
        <v>11</v>
      </c>
      <c r="AG85" s="0" t="n">
        <v>11</v>
      </c>
      <c r="AH85" s="0" t="n">
        <v>11</v>
      </c>
      <c r="AI85" s="0" t="n">
        <v>26.7</v>
      </c>
      <c r="AJ85" s="0" t="n">
        <v>26.7</v>
      </c>
      <c r="AK85" s="0" t="n">
        <v>26.7</v>
      </c>
      <c r="AL85" s="0" t="n">
        <v>48.803</v>
      </c>
      <c r="AM85" s="0" t="n">
        <v>0</v>
      </c>
      <c r="AN85" s="0" t="n">
        <v>139.33</v>
      </c>
      <c r="AO85" s="0" t="n">
        <v>82657000</v>
      </c>
      <c r="AP85" s="0" t="n">
        <v>82</v>
      </c>
      <c r="AQ85" s="0" t="n">
        <v>0.198293319464364</v>
      </c>
      <c r="AR85" s="0" t="n">
        <v>0.716875</v>
      </c>
      <c r="AS85" s="0" t="s">
        <v>420</v>
      </c>
      <c r="AT85" s="0" t="s">
        <v>421</v>
      </c>
      <c r="AU85" s="0" t="s">
        <v>422</v>
      </c>
      <c r="AV85" s="0" t="s">
        <v>423</v>
      </c>
      <c r="AW85" s="0" t="s">
        <v>284</v>
      </c>
      <c r="AZ85" s="0" t="n">
        <v>173</v>
      </c>
    </row>
    <row r="86" customFormat="false" ht="15" hidden="false" customHeight="false" outlineLevel="0" collapsed="false">
      <c r="A86" s="0" t="n">
        <v>19.05309</v>
      </c>
      <c r="B86" s="0" t="n">
        <v>18.3067</v>
      </c>
      <c r="C86" s="0" t="n">
        <v>19.89893</v>
      </c>
      <c r="D86" s="0" t="n">
        <v>19.15867</v>
      </c>
      <c r="E86" s="0" t="n">
        <v>19.25153</v>
      </c>
      <c r="F86" s="0" t="n">
        <v>19.97673</v>
      </c>
      <c r="G86" s="0" t="n">
        <v>18.2627</v>
      </c>
      <c r="H86" s="0" t="n">
        <v>19.27401</v>
      </c>
      <c r="I86" s="0" t="n">
        <v>18.80275</v>
      </c>
      <c r="J86" s="0" t="n">
        <v>19.3735</v>
      </c>
      <c r="K86" s="0" t="n">
        <v>18.60816</v>
      </c>
      <c r="L86" s="0" t="n">
        <v>17.39908</v>
      </c>
      <c r="M86" s="0" t="n">
        <v>19.29296</v>
      </c>
      <c r="N86" s="0" t="n">
        <v>20.33974</v>
      </c>
      <c r="O86" s="0" t="n">
        <v>17.87177</v>
      </c>
      <c r="P86" s="0" t="n">
        <v>19.06371</v>
      </c>
      <c r="Q86" s="0" t="n">
        <v>18.97645</v>
      </c>
      <c r="R86" s="0" t="n">
        <v>19.09695</v>
      </c>
      <c r="S86" s="0" t="n">
        <v>18.6968</v>
      </c>
      <c r="T86" s="0" t="n">
        <v>19.09306</v>
      </c>
      <c r="U86" s="0" t="n">
        <v>18.79855</v>
      </c>
      <c r="V86" s="0" t="n">
        <v>19.63263</v>
      </c>
      <c r="W86" s="0" t="n">
        <v>19.12381</v>
      </c>
      <c r="X86" s="0" t="n">
        <v>19.37303</v>
      </c>
      <c r="Y86" s="0" t="n">
        <v>19.45028</v>
      </c>
      <c r="Z86" s="0" t="n">
        <v>19.28184</v>
      </c>
      <c r="AA86" s="0" t="n">
        <v>19.45862</v>
      </c>
      <c r="AF86" s="0" t="n">
        <v>15</v>
      </c>
      <c r="AG86" s="0" t="n">
        <v>15</v>
      </c>
      <c r="AH86" s="0" t="n">
        <v>15</v>
      </c>
      <c r="AI86" s="0" t="n">
        <v>26.6</v>
      </c>
      <c r="AJ86" s="0" t="n">
        <v>26.6</v>
      </c>
      <c r="AK86" s="0" t="n">
        <v>26.6</v>
      </c>
      <c r="AL86" s="0" t="n">
        <v>104.79</v>
      </c>
      <c r="AM86" s="0" t="n">
        <v>0</v>
      </c>
      <c r="AN86" s="0" t="n">
        <v>43.893</v>
      </c>
      <c r="AO86" s="0" t="n">
        <v>21034000</v>
      </c>
      <c r="AP86" s="0" t="n">
        <v>103</v>
      </c>
      <c r="AQ86" s="0" t="n">
        <v>0.493431559914352</v>
      </c>
      <c r="AR86" s="0" t="n">
        <v>0.876825396825397</v>
      </c>
      <c r="AS86" s="0" t="s">
        <v>424</v>
      </c>
      <c r="AT86" s="0" t="s">
        <v>425</v>
      </c>
      <c r="AU86" s="0" t="s">
        <v>426</v>
      </c>
      <c r="AV86" s="0" t="s">
        <v>427</v>
      </c>
      <c r="AW86" s="0" t="s">
        <v>428</v>
      </c>
      <c r="AZ86" s="0" t="n">
        <v>175</v>
      </c>
    </row>
    <row r="87" customFormat="false" ht="15" hidden="false" customHeight="false" outlineLevel="0" collapsed="false">
      <c r="A87" s="0" t="n">
        <v>15.564</v>
      </c>
      <c r="B87" s="0" t="n">
        <v>16.47028</v>
      </c>
      <c r="C87" s="0" t="n">
        <v>17.44682</v>
      </c>
      <c r="D87" s="0" t="n">
        <v>14.44664</v>
      </c>
      <c r="E87" s="0" t="n">
        <v>16.25058</v>
      </c>
      <c r="F87" s="0" t="n">
        <v>14.18255</v>
      </c>
      <c r="G87" s="0" t="n">
        <v>14.63441</v>
      </c>
      <c r="H87" s="0" t="n">
        <v>16.77841</v>
      </c>
      <c r="I87" s="0" t="n">
        <v>15.94854</v>
      </c>
      <c r="J87" s="0" t="n">
        <v>13.98648</v>
      </c>
      <c r="K87" s="0" t="n">
        <v>17.60104</v>
      </c>
      <c r="L87" s="0" t="n">
        <v>13.44255</v>
      </c>
      <c r="M87" s="0" t="n">
        <v>18.21409</v>
      </c>
      <c r="N87" s="0" t="n">
        <v>16.17483</v>
      </c>
      <c r="O87" s="0" t="n">
        <v>14.15474</v>
      </c>
      <c r="P87" s="0" t="n">
        <v>17.50603</v>
      </c>
      <c r="Q87" s="0" t="n">
        <v>16.65704</v>
      </c>
      <c r="R87" s="0" t="n">
        <v>16.23195</v>
      </c>
      <c r="S87" s="0" t="n">
        <v>16.56483</v>
      </c>
      <c r="T87" s="0" t="n">
        <v>15.38104</v>
      </c>
      <c r="U87" s="0" t="n">
        <v>16.38083</v>
      </c>
      <c r="V87" s="0" t="n">
        <v>15.64982</v>
      </c>
      <c r="W87" s="0" t="n">
        <v>17.63261</v>
      </c>
      <c r="X87" s="0" t="n">
        <v>18.0426</v>
      </c>
      <c r="Y87" s="0" t="n">
        <v>17.98776</v>
      </c>
      <c r="Z87" s="0" t="n">
        <v>14.7754</v>
      </c>
      <c r="AA87" s="0" t="n">
        <v>18.0358</v>
      </c>
      <c r="AF87" s="0" t="n">
        <v>5</v>
      </c>
      <c r="AG87" s="0" t="n">
        <v>5</v>
      </c>
      <c r="AH87" s="0" t="n">
        <v>5</v>
      </c>
      <c r="AI87" s="0" t="n">
        <v>24.2</v>
      </c>
      <c r="AJ87" s="0" t="n">
        <v>24.2</v>
      </c>
      <c r="AK87" s="0" t="n">
        <v>24.2</v>
      </c>
      <c r="AL87" s="0" t="n">
        <v>52.286</v>
      </c>
      <c r="AM87" s="0" t="n">
        <v>0</v>
      </c>
      <c r="AN87" s="0" t="n">
        <v>20.149</v>
      </c>
      <c r="AO87" s="0" t="n">
        <v>3076900</v>
      </c>
      <c r="AP87" s="0" t="n">
        <v>30</v>
      </c>
      <c r="AQ87" s="0" t="n">
        <v>0.324864647488503</v>
      </c>
      <c r="AR87" s="0" t="n">
        <v>0.861209302325581</v>
      </c>
      <c r="AS87" s="0" t="s">
        <v>429</v>
      </c>
      <c r="AT87" s="0" t="s">
        <v>430</v>
      </c>
      <c r="AU87" s="0" t="s">
        <v>431</v>
      </c>
      <c r="AV87" s="0" t="s">
        <v>432</v>
      </c>
      <c r="AW87" s="0" t="s">
        <v>87</v>
      </c>
      <c r="AZ87" s="0" t="n">
        <v>177</v>
      </c>
    </row>
    <row r="88" customFormat="false" ht="15" hidden="false" customHeight="false" outlineLevel="0" collapsed="false">
      <c r="A88" s="0" t="n">
        <v>20.80507</v>
      </c>
      <c r="B88" s="0" t="n">
        <v>20.7032</v>
      </c>
      <c r="C88" s="0" t="n">
        <v>22.26674</v>
      </c>
      <c r="D88" s="0" t="n">
        <v>20.40114</v>
      </c>
      <c r="E88" s="0" t="n">
        <v>20.80357</v>
      </c>
      <c r="F88" s="0" t="n">
        <v>21.69353</v>
      </c>
      <c r="G88" s="0" t="n">
        <v>21.16681</v>
      </c>
      <c r="H88" s="0" t="n">
        <v>21.48015</v>
      </c>
      <c r="I88" s="0" t="n">
        <v>20.57228</v>
      </c>
      <c r="J88" s="0" t="n">
        <v>19.64938</v>
      </c>
      <c r="K88" s="0" t="n">
        <v>16.39241</v>
      </c>
      <c r="L88" s="0" t="n">
        <v>20.02134</v>
      </c>
      <c r="M88" s="0" t="n">
        <v>20.53022</v>
      </c>
      <c r="N88" s="0" t="n">
        <v>22.6685</v>
      </c>
      <c r="O88" s="0" t="n">
        <v>21.48035</v>
      </c>
      <c r="P88" s="0" t="n">
        <v>21.58252</v>
      </c>
      <c r="Q88" s="0" t="n">
        <v>21.46628</v>
      </c>
      <c r="R88" s="0" t="n">
        <v>21.05457</v>
      </c>
      <c r="S88" s="0" t="n">
        <v>21.45904</v>
      </c>
      <c r="T88" s="0" t="n">
        <v>21.63763</v>
      </c>
      <c r="U88" s="0" t="n">
        <v>21.73698</v>
      </c>
      <c r="V88" s="0" t="n">
        <v>21.48089</v>
      </c>
      <c r="W88" s="0" t="n">
        <v>21.93297</v>
      </c>
      <c r="X88" s="0" t="n">
        <v>21.4207</v>
      </c>
      <c r="Y88" s="0" t="n">
        <v>21.83341</v>
      </c>
      <c r="Z88" s="0" t="n">
        <v>21.2447</v>
      </c>
      <c r="AA88" s="0" t="n">
        <v>22.00577</v>
      </c>
      <c r="AF88" s="0" t="n">
        <v>9</v>
      </c>
      <c r="AG88" s="0" t="n">
        <v>6</v>
      </c>
      <c r="AH88" s="0" t="n">
        <v>6</v>
      </c>
      <c r="AI88" s="0" t="n">
        <v>43.8</v>
      </c>
      <c r="AJ88" s="0" t="n">
        <v>31.3</v>
      </c>
      <c r="AK88" s="0" t="n">
        <v>31.3</v>
      </c>
      <c r="AL88" s="0" t="n">
        <v>23.602</v>
      </c>
      <c r="AM88" s="0" t="n">
        <v>0</v>
      </c>
      <c r="AN88" s="0" t="n">
        <v>323.31</v>
      </c>
      <c r="AO88" s="0" t="n">
        <v>92809000</v>
      </c>
      <c r="AP88" s="0" t="n">
        <v>100</v>
      </c>
      <c r="AQ88" s="0" t="n">
        <v>0.354250192325934</v>
      </c>
      <c r="AR88" s="0" t="n">
        <v>0.821877551020408</v>
      </c>
      <c r="AS88" s="0" t="s">
        <v>433</v>
      </c>
      <c r="AT88" s="0" t="s">
        <v>433</v>
      </c>
      <c r="AU88" s="0" t="s">
        <v>434</v>
      </c>
      <c r="AV88" s="0" t="s">
        <v>435</v>
      </c>
      <c r="AW88" s="0" t="s">
        <v>436</v>
      </c>
      <c r="AX88" s="0" t="n">
        <v>109</v>
      </c>
      <c r="AY88" s="0" t="n">
        <v>129</v>
      </c>
      <c r="AZ88" s="0" t="n">
        <v>179</v>
      </c>
    </row>
    <row r="89" customFormat="false" ht="15" hidden="false" customHeight="false" outlineLevel="0" collapsed="false">
      <c r="A89" s="0" t="n">
        <v>21.01577</v>
      </c>
      <c r="B89" s="0" t="n">
        <v>21.36965</v>
      </c>
      <c r="C89" s="0" t="n">
        <v>20.76668</v>
      </c>
      <c r="D89" s="0" t="n">
        <v>20.22117</v>
      </c>
      <c r="E89" s="0" t="n">
        <v>21.47511</v>
      </c>
      <c r="F89" s="0" t="n">
        <v>20.96374</v>
      </c>
      <c r="G89" s="0" t="n">
        <v>21.093</v>
      </c>
      <c r="H89" s="0" t="n">
        <v>21.8511</v>
      </c>
      <c r="I89" s="0" t="n">
        <v>20.67926</v>
      </c>
      <c r="J89" s="0" t="n">
        <v>20.85323</v>
      </c>
      <c r="K89" s="0" t="n">
        <v>19.77378</v>
      </c>
      <c r="L89" s="0" t="n">
        <v>21.57907</v>
      </c>
      <c r="M89" s="0" t="n">
        <v>21.90566</v>
      </c>
      <c r="N89" s="0" t="n">
        <v>22.48094</v>
      </c>
      <c r="O89" s="0" t="n">
        <v>20.72392</v>
      </c>
      <c r="P89" s="0" t="n">
        <v>21.48675</v>
      </c>
      <c r="Q89" s="0" t="n">
        <v>21.99355</v>
      </c>
      <c r="R89" s="0" t="n">
        <v>21.79923</v>
      </c>
      <c r="S89" s="0" t="n">
        <v>21.31424</v>
      </c>
      <c r="T89" s="0" t="n">
        <v>21.65696</v>
      </c>
      <c r="U89" s="0" t="n">
        <v>21.34061</v>
      </c>
      <c r="V89" s="0" t="n">
        <v>20.46842</v>
      </c>
      <c r="W89" s="0" t="n">
        <v>21.36448</v>
      </c>
      <c r="X89" s="0" t="n">
        <v>21.34126</v>
      </c>
      <c r="Y89" s="0" t="n">
        <v>21.07176</v>
      </c>
      <c r="Z89" s="0" t="n">
        <v>21.54534</v>
      </c>
      <c r="AA89" s="0" t="n">
        <v>21.38015</v>
      </c>
      <c r="AF89" s="0" t="n">
        <v>19</v>
      </c>
      <c r="AG89" s="0" t="n">
        <v>19</v>
      </c>
      <c r="AH89" s="0" t="n">
        <v>19</v>
      </c>
      <c r="AI89" s="0" t="n">
        <v>29.9</v>
      </c>
      <c r="AJ89" s="0" t="n">
        <v>29.9</v>
      </c>
      <c r="AK89" s="0" t="n">
        <v>29.9</v>
      </c>
      <c r="AL89" s="0" t="n">
        <v>105.21</v>
      </c>
      <c r="AM89" s="0" t="n">
        <v>0</v>
      </c>
      <c r="AN89" s="0" t="n">
        <v>323.31</v>
      </c>
      <c r="AO89" s="0" t="n">
        <v>101480000</v>
      </c>
      <c r="AP89" s="0" t="n">
        <v>296</v>
      </c>
      <c r="AQ89" s="0" t="n">
        <v>0.346656181598619</v>
      </c>
      <c r="AR89" s="0" t="n">
        <v>0.854695652173913</v>
      </c>
      <c r="AS89" s="0" t="s">
        <v>437</v>
      </c>
      <c r="AT89" s="0" t="s">
        <v>438</v>
      </c>
      <c r="AU89" s="0" t="s">
        <v>439</v>
      </c>
      <c r="AV89" s="0" t="s">
        <v>440</v>
      </c>
      <c r="AW89" s="0" t="s">
        <v>441</v>
      </c>
      <c r="AX89" s="0" t="n">
        <v>110</v>
      </c>
      <c r="AY89" s="0" t="n">
        <v>151</v>
      </c>
      <c r="AZ89" s="0" t="n">
        <v>180</v>
      </c>
    </row>
    <row r="90" customFormat="false" ht="15" hidden="false" customHeight="false" outlineLevel="0" collapsed="false">
      <c r="A90" s="0" t="n">
        <v>21.48851</v>
      </c>
      <c r="B90" s="0" t="n">
        <v>20.80617</v>
      </c>
      <c r="C90" s="0" t="n">
        <v>22.3644</v>
      </c>
      <c r="D90" s="0" t="n">
        <v>21.32564</v>
      </c>
      <c r="E90" s="0" t="n">
        <v>20.9315</v>
      </c>
      <c r="F90" s="0" t="n">
        <v>21.57191</v>
      </c>
      <c r="G90" s="0" t="n">
        <v>20.61468</v>
      </c>
      <c r="H90" s="0" t="n">
        <v>21.34597</v>
      </c>
      <c r="I90" s="0" t="n">
        <v>21.65106</v>
      </c>
      <c r="J90" s="0" t="n">
        <v>21.08784</v>
      </c>
      <c r="K90" s="0" t="n">
        <v>21.10655</v>
      </c>
      <c r="L90" s="0" t="n">
        <v>20.1437</v>
      </c>
      <c r="M90" s="0" t="n">
        <v>21.75005</v>
      </c>
      <c r="N90" s="0" t="n">
        <v>21.66336</v>
      </c>
      <c r="O90" s="0" t="n">
        <v>20.21939</v>
      </c>
      <c r="P90" s="0" t="n">
        <v>20.98183</v>
      </c>
      <c r="Q90" s="0" t="n">
        <v>21.73037</v>
      </c>
      <c r="R90" s="0" t="n">
        <v>21.61392</v>
      </c>
      <c r="S90" s="0" t="n">
        <v>21.32509</v>
      </c>
      <c r="T90" s="0" t="n">
        <v>21.48974</v>
      </c>
      <c r="U90" s="0" t="n">
        <v>21.679</v>
      </c>
      <c r="V90" s="0" t="n">
        <v>21.33957</v>
      </c>
      <c r="W90" s="0" t="n">
        <v>21.98735</v>
      </c>
      <c r="X90" s="0" t="n">
        <v>21.61531</v>
      </c>
      <c r="Y90" s="0" t="n">
        <v>21.31252</v>
      </c>
      <c r="Z90" s="0" t="n">
        <v>21.98694</v>
      </c>
      <c r="AA90" s="0" t="n">
        <v>21.50101</v>
      </c>
      <c r="AF90" s="0" t="n">
        <v>24</v>
      </c>
      <c r="AG90" s="0" t="n">
        <v>24</v>
      </c>
      <c r="AH90" s="0" t="n">
        <v>24</v>
      </c>
      <c r="AI90" s="0" t="n">
        <v>36</v>
      </c>
      <c r="AJ90" s="0" t="n">
        <v>36</v>
      </c>
      <c r="AK90" s="0" t="n">
        <v>36</v>
      </c>
      <c r="AL90" s="0" t="n">
        <v>101.39</v>
      </c>
      <c r="AM90" s="0" t="n">
        <v>0</v>
      </c>
      <c r="AN90" s="0" t="n">
        <v>323.31</v>
      </c>
      <c r="AO90" s="0" t="n">
        <v>102750000</v>
      </c>
      <c r="AP90" s="0" t="n">
        <v>286</v>
      </c>
      <c r="AQ90" s="0" t="n">
        <v>0.264653324173287</v>
      </c>
      <c r="AR90" s="0" t="n">
        <v>0.777641025641026</v>
      </c>
      <c r="AS90" s="0" t="s">
        <v>442</v>
      </c>
      <c r="AT90" s="0" t="s">
        <v>443</v>
      </c>
      <c r="AU90" s="0" t="s">
        <v>444</v>
      </c>
      <c r="AV90" s="0" t="s">
        <v>445</v>
      </c>
      <c r="AW90" s="0" t="s">
        <v>177</v>
      </c>
      <c r="AZ90" s="0" t="n">
        <v>181</v>
      </c>
    </row>
    <row r="91" customFormat="false" ht="15" hidden="false" customHeight="false" outlineLevel="0" collapsed="false">
      <c r="A91" s="0" t="n">
        <v>15.32372</v>
      </c>
      <c r="B91" s="0" t="n">
        <v>14.51039</v>
      </c>
      <c r="C91" s="0" t="n">
        <v>14.95665</v>
      </c>
      <c r="D91" s="0" t="n">
        <v>13.45529</v>
      </c>
      <c r="E91" s="0" t="n">
        <v>16.59731</v>
      </c>
      <c r="F91" s="0" t="n">
        <v>16.37533</v>
      </c>
      <c r="G91" s="0" t="n">
        <v>12.6089</v>
      </c>
      <c r="H91" s="0" t="n">
        <v>16.73516</v>
      </c>
      <c r="I91" s="0" t="n">
        <v>15.78023</v>
      </c>
      <c r="J91" s="0" t="n">
        <v>14.33155</v>
      </c>
      <c r="K91" s="0" t="n">
        <v>21.14582</v>
      </c>
      <c r="L91" s="0" t="n">
        <v>20.53763</v>
      </c>
      <c r="M91" s="0" t="n">
        <v>18.92268</v>
      </c>
      <c r="N91" s="0" t="n">
        <v>15.27583</v>
      </c>
      <c r="O91" s="0" t="n">
        <v>12.71984</v>
      </c>
      <c r="P91" s="0" t="n">
        <v>18.4853</v>
      </c>
      <c r="Q91" s="0" t="n">
        <v>18.30113</v>
      </c>
      <c r="R91" s="0" t="n">
        <v>18.10482</v>
      </c>
      <c r="S91" s="0" t="n">
        <v>17.57688</v>
      </c>
      <c r="T91" s="0" t="n">
        <v>15.51856</v>
      </c>
      <c r="U91" s="0" t="n">
        <v>16.55499</v>
      </c>
      <c r="V91" s="0" t="n">
        <v>21.98384</v>
      </c>
      <c r="W91" s="0" t="n">
        <v>13.80312</v>
      </c>
      <c r="X91" s="0" t="n">
        <v>17.69534</v>
      </c>
      <c r="Y91" s="0" t="n">
        <v>13.65765</v>
      </c>
      <c r="Z91" s="0" t="n">
        <v>13.91933</v>
      </c>
      <c r="AA91" s="0" t="n">
        <v>15.99612</v>
      </c>
      <c r="AF91" s="0" t="n">
        <v>29</v>
      </c>
      <c r="AG91" s="0" t="n">
        <v>21</v>
      </c>
      <c r="AH91" s="0" t="n">
        <v>21</v>
      </c>
      <c r="AI91" s="0" t="n">
        <v>28.2</v>
      </c>
      <c r="AJ91" s="0" t="n">
        <v>21.5</v>
      </c>
      <c r="AK91" s="0" t="n">
        <v>21.5</v>
      </c>
      <c r="AL91" s="0" t="n">
        <v>163.86</v>
      </c>
      <c r="AM91" s="0" t="n">
        <v>0</v>
      </c>
      <c r="AN91" s="0" t="n">
        <v>21.892</v>
      </c>
      <c r="AO91" s="0" t="n">
        <v>15008000</v>
      </c>
      <c r="AP91" s="0" t="n">
        <v>71</v>
      </c>
      <c r="AQ91" s="0" t="n">
        <v>0.14170564874955</v>
      </c>
      <c r="AR91" s="0" t="n">
        <v>0.6965</v>
      </c>
      <c r="AS91" s="0" t="s">
        <v>446</v>
      </c>
      <c r="AT91" s="0" t="s">
        <v>447</v>
      </c>
      <c r="AU91" s="0" t="s">
        <v>448</v>
      </c>
      <c r="AV91" s="0" t="s">
        <v>449</v>
      </c>
      <c r="AW91" s="0" t="s">
        <v>450</v>
      </c>
      <c r="AZ91" s="0" t="n">
        <v>182</v>
      </c>
    </row>
    <row r="92" customFormat="false" ht="15" hidden="false" customHeight="false" outlineLevel="0" collapsed="false">
      <c r="A92" s="0" t="n">
        <v>15.10754</v>
      </c>
      <c r="B92" s="0" t="n">
        <v>15.49235</v>
      </c>
      <c r="C92" s="0" t="n">
        <v>16.9119</v>
      </c>
      <c r="D92" s="0" t="n">
        <v>13.56719</v>
      </c>
      <c r="E92" s="0" t="n">
        <v>14.89415</v>
      </c>
      <c r="F92" s="0" t="n">
        <v>14.24711</v>
      </c>
      <c r="G92" s="0" t="n">
        <v>15.07217</v>
      </c>
      <c r="H92" s="0" t="n">
        <v>15.64338</v>
      </c>
      <c r="I92" s="0" t="n">
        <v>15.11077</v>
      </c>
      <c r="J92" s="0" t="n">
        <v>13.57362</v>
      </c>
      <c r="K92" s="0" t="n">
        <v>17.25868</v>
      </c>
      <c r="L92" s="0" t="n">
        <v>13.87584</v>
      </c>
      <c r="M92" s="0" t="n">
        <v>15.49182</v>
      </c>
      <c r="N92" s="0" t="n">
        <v>15.37606</v>
      </c>
      <c r="O92" s="0" t="n">
        <v>14.63243</v>
      </c>
      <c r="P92" s="0" t="n">
        <v>15.70206</v>
      </c>
      <c r="Q92" s="0" t="n">
        <v>15.58008</v>
      </c>
      <c r="R92" s="0" t="n">
        <v>15.59797</v>
      </c>
      <c r="S92" s="0" t="n">
        <v>15.48944</v>
      </c>
      <c r="T92" s="0" t="n">
        <v>15.17235</v>
      </c>
      <c r="U92" s="0" t="n">
        <v>15.01542</v>
      </c>
      <c r="V92" s="0" t="n">
        <v>14.97186</v>
      </c>
      <c r="W92" s="0" t="n">
        <v>15.24414</v>
      </c>
      <c r="X92" s="0" t="n">
        <v>15.46687</v>
      </c>
      <c r="Y92" s="0" t="n">
        <v>15.80919</v>
      </c>
      <c r="Z92" s="0" t="n">
        <v>14.93999</v>
      </c>
      <c r="AA92" s="0" t="n">
        <v>18.01182</v>
      </c>
      <c r="AF92" s="0" t="n">
        <v>4</v>
      </c>
      <c r="AG92" s="0" t="n">
        <v>4</v>
      </c>
      <c r="AH92" s="0" t="n">
        <v>4</v>
      </c>
      <c r="AI92" s="0" t="n">
        <v>25.5</v>
      </c>
      <c r="AJ92" s="0" t="n">
        <v>25.5</v>
      </c>
      <c r="AK92" s="0" t="n">
        <v>25.5</v>
      </c>
      <c r="AL92" s="0" t="n">
        <v>28.286</v>
      </c>
      <c r="AM92" s="0" t="n">
        <v>0</v>
      </c>
      <c r="AN92" s="0" t="n">
        <v>1.8871</v>
      </c>
      <c r="AO92" s="0" t="n">
        <v>1557500</v>
      </c>
      <c r="AP92" s="0" t="n">
        <v>8</v>
      </c>
      <c r="AQ92" s="0" t="n">
        <v>0.846215735546459</v>
      </c>
      <c r="AR92" s="0" t="n">
        <v>0.957291666666667</v>
      </c>
      <c r="AS92" s="0" t="s">
        <v>451</v>
      </c>
      <c r="AT92" s="0" t="s">
        <v>452</v>
      </c>
      <c r="AU92" s="0" t="s">
        <v>453</v>
      </c>
      <c r="AV92" s="0" t="s">
        <v>454</v>
      </c>
      <c r="AW92" s="0" t="s">
        <v>135</v>
      </c>
      <c r="AZ92" s="0" t="n">
        <v>183</v>
      </c>
    </row>
    <row r="93" customFormat="false" ht="15" hidden="false" customHeight="false" outlineLevel="0" collapsed="false">
      <c r="A93" s="0" t="n">
        <v>16.21534</v>
      </c>
      <c r="B93" s="0" t="n">
        <v>16.30048</v>
      </c>
      <c r="C93" s="0" t="n">
        <v>15.61976</v>
      </c>
      <c r="D93" s="0" t="n">
        <v>16.16632</v>
      </c>
      <c r="E93" s="0" t="n">
        <v>17.03585</v>
      </c>
      <c r="F93" s="0" t="n">
        <v>16.39178</v>
      </c>
      <c r="G93" s="0" t="n">
        <v>15.98471</v>
      </c>
      <c r="H93" s="0" t="n">
        <v>16.69411</v>
      </c>
      <c r="I93" s="0" t="n">
        <v>16.23013</v>
      </c>
      <c r="J93" s="0" t="n">
        <v>15.44928</v>
      </c>
      <c r="K93" s="0" t="n">
        <v>16.50285</v>
      </c>
      <c r="L93" s="0" t="n">
        <v>15.37819</v>
      </c>
      <c r="M93" s="0" t="n">
        <v>17.1449</v>
      </c>
      <c r="N93" s="0" t="n">
        <v>19.25403</v>
      </c>
      <c r="O93" s="0" t="n">
        <v>16.11405</v>
      </c>
      <c r="P93" s="0" t="n">
        <v>17.01574</v>
      </c>
      <c r="Q93" s="0" t="n">
        <v>16.02393</v>
      </c>
      <c r="R93" s="0" t="n">
        <v>16.37154</v>
      </c>
      <c r="S93" s="0" t="n">
        <v>16.5501</v>
      </c>
      <c r="T93" s="0" t="n">
        <v>16.15853</v>
      </c>
      <c r="U93" s="0" t="n">
        <v>17.90006</v>
      </c>
      <c r="V93" s="0" t="n">
        <v>16.64118</v>
      </c>
      <c r="W93" s="0" t="n">
        <v>17.71773</v>
      </c>
      <c r="X93" s="0" t="n">
        <v>17.4803</v>
      </c>
      <c r="Y93" s="0" t="n">
        <v>17.48093</v>
      </c>
      <c r="Z93" s="0" t="n">
        <v>17.06855</v>
      </c>
      <c r="AA93" s="0" t="n">
        <v>16.80663</v>
      </c>
      <c r="AF93" s="0" t="n">
        <v>5</v>
      </c>
      <c r="AG93" s="0" t="n">
        <v>5</v>
      </c>
      <c r="AH93" s="0" t="n">
        <v>5</v>
      </c>
      <c r="AI93" s="0" t="n">
        <v>13.4</v>
      </c>
      <c r="AJ93" s="0" t="n">
        <v>13.4</v>
      </c>
      <c r="AK93" s="0" t="n">
        <v>13.4</v>
      </c>
      <c r="AL93" s="0" t="n">
        <v>60.556</v>
      </c>
      <c r="AM93" s="0" t="n">
        <v>0</v>
      </c>
      <c r="AN93" s="0" t="n">
        <v>20.045</v>
      </c>
      <c r="AO93" s="0" t="n">
        <v>4620800</v>
      </c>
      <c r="AP93" s="0" t="n">
        <v>34</v>
      </c>
      <c r="AQ93" s="0" t="n">
        <v>0.0347619184017404</v>
      </c>
      <c r="AR93" s="0" t="n">
        <v>0.607428571428571</v>
      </c>
      <c r="AS93" s="0" t="s">
        <v>455</v>
      </c>
      <c r="AT93" s="0" t="s">
        <v>455</v>
      </c>
      <c r="AU93" s="0" t="s">
        <v>456</v>
      </c>
      <c r="AV93" s="0" t="s">
        <v>457</v>
      </c>
      <c r="AW93" s="0" t="s">
        <v>87</v>
      </c>
      <c r="AZ93" s="0" t="n">
        <v>184</v>
      </c>
    </row>
    <row r="94" customFormat="false" ht="15" hidden="false" customHeight="false" outlineLevel="0" collapsed="false">
      <c r="A94" s="0" t="n">
        <v>18.20366</v>
      </c>
      <c r="B94" s="0" t="n">
        <v>17.7198</v>
      </c>
      <c r="C94" s="0" t="n">
        <v>16.20067</v>
      </c>
      <c r="D94" s="0" t="n">
        <v>17.60545</v>
      </c>
      <c r="E94" s="0" t="n">
        <v>18.06071</v>
      </c>
      <c r="F94" s="0" t="n">
        <v>19.27846</v>
      </c>
      <c r="G94" s="0" t="n">
        <v>16.86677</v>
      </c>
      <c r="H94" s="0" t="n">
        <v>17.65166</v>
      </c>
      <c r="I94" s="0" t="n">
        <v>17.8114</v>
      </c>
      <c r="J94" s="0" t="n">
        <v>16.71733</v>
      </c>
      <c r="K94" s="0" t="n">
        <v>16.7264</v>
      </c>
      <c r="L94" s="0" t="n">
        <v>15.79791</v>
      </c>
      <c r="M94" s="0" t="n">
        <v>17.48589</v>
      </c>
      <c r="N94" s="0" t="n">
        <v>17.25248</v>
      </c>
      <c r="O94" s="0" t="n">
        <v>15.63385</v>
      </c>
      <c r="P94" s="0" t="n">
        <v>17.5882</v>
      </c>
      <c r="Q94" s="0" t="n">
        <v>17.87273</v>
      </c>
      <c r="R94" s="0" t="n">
        <v>18.25553</v>
      </c>
      <c r="S94" s="0" t="n">
        <v>17.20074</v>
      </c>
      <c r="T94" s="0" t="n">
        <v>17.40699</v>
      </c>
      <c r="U94" s="0" t="n">
        <v>18.42095</v>
      </c>
      <c r="V94" s="0" t="n">
        <v>16.28697</v>
      </c>
      <c r="W94" s="0" t="n">
        <v>17.11411</v>
      </c>
      <c r="X94" s="0" t="n">
        <v>17.01618</v>
      </c>
      <c r="Y94" s="0" t="n">
        <v>17.42718</v>
      </c>
      <c r="Z94" s="0" t="n">
        <v>18.64058</v>
      </c>
      <c r="AA94" s="0" t="n">
        <v>17.10575</v>
      </c>
      <c r="AF94" s="0" t="n">
        <v>8</v>
      </c>
      <c r="AG94" s="0" t="n">
        <v>8</v>
      </c>
      <c r="AH94" s="0" t="n">
        <v>8</v>
      </c>
      <c r="AI94" s="0" t="n">
        <v>19.8</v>
      </c>
      <c r="AJ94" s="0" t="n">
        <v>19.8</v>
      </c>
      <c r="AK94" s="0" t="n">
        <v>19.8</v>
      </c>
      <c r="AL94" s="0" t="n">
        <v>77.213</v>
      </c>
      <c r="AM94" s="0" t="n">
        <v>0</v>
      </c>
      <c r="AN94" s="0" t="n">
        <v>27.078</v>
      </c>
      <c r="AO94" s="0" t="n">
        <v>7098400</v>
      </c>
      <c r="AP94" s="0" t="n">
        <v>64</v>
      </c>
      <c r="AQ94" s="0" t="n">
        <v>0.43230983221811</v>
      </c>
      <c r="AR94" s="0" t="n">
        <v>0.887272727272727</v>
      </c>
      <c r="AS94" s="0" t="s">
        <v>458</v>
      </c>
      <c r="AT94" s="0" t="s">
        <v>459</v>
      </c>
      <c r="AU94" s="0" t="s">
        <v>460</v>
      </c>
      <c r="AV94" s="0" t="s">
        <v>461</v>
      </c>
      <c r="AW94" s="0" t="s">
        <v>296</v>
      </c>
      <c r="AZ94" s="0" t="n">
        <v>185</v>
      </c>
    </row>
    <row r="95" customFormat="false" ht="15" hidden="false" customHeight="false" outlineLevel="0" collapsed="false">
      <c r="A95" s="0" t="n">
        <v>18.74258</v>
      </c>
      <c r="B95" s="0" t="n">
        <v>20.3739</v>
      </c>
      <c r="C95" s="0" t="n">
        <v>19.47203</v>
      </c>
      <c r="D95" s="0" t="n">
        <v>18.95875</v>
      </c>
      <c r="E95" s="0" t="n">
        <v>19.41394</v>
      </c>
      <c r="F95" s="0" t="n">
        <v>18.9999</v>
      </c>
      <c r="G95" s="0" t="n">
        <v>19.19998</v>
      </c>
      <c r="H95" s="0" t="n">
        <v>18.6988</v>
      </c>
      <c r="I95" s="0" t="n">
        <v>19.05006</v>
      </c>
      <c r="J95" s="0" t="n">
        <v>19.60845</v>
      </c>
      <c r="K95" s="0" t="n">
        <v>16.06647</v>
      </c>
      <c r="L95" s="0" t="n">
        <v>20.13207</v>
      </c>
      <c r="M95" s="0" t="n">
        <v>19.56205</v>
      </c>
      <c r="N95" s="0" t="n">
        <v>21.12711</v>
      </c>
      <c r="O95" s="0" t="n">
        <v>19.39597</v>
      </c>
      <c r="P95" s="0" t="n">
        <v>20.04153</v>
      </c>
      <c r="Q95" s="0" t="n">
        <v>20.09249</v>
      </c>
      <c r="R95" s="0" t="n">
        <v>19.55617</v>
      </c>
      <c r="S95" s="0" t="n">
        <v>18.92989</v>
      </c>
      <c r="T95" s="0" t="n">
        <v>18.69619</v>
      </c>
      <c r="U95" s="0" t="n">
        <v>19.5465</v>
      </c>
      <c r="V95" s="0" t="n">
        <v>18.55281</v>
      </c>
      <c r="W95" s="0" t="n">
        <v>19.70875</v>
      </c>
      <c r="X95" s="0" t="n">
        <v>19.30189</v>
      </c>
      <c r="Y95" s="0" t="n">
        <v>19.60932</v>
      </c>
      <c r="Z95" s="0" t="n">
        <v>19.30301</v>
      </c>
      <c r="AA95" s="0" t="n">
        <v>19.06129</v>
      </c>
      <c r="AF95" s="0" t="n">
        <v>10</v>
      </c>
      <c r="AG95" s="0" t="n">
        <v>10</v>
      </c>
      <c r="AH95" s="0" t="n">
        <v>10</v>
      </c>
      <c r="AI95" s="0" t="n">
        <v>38.6</v>
      </c>
      <c r="AJ95" s="0" t="n">
        <v>38.6</v>
      </c>
      <c r="AK95" s="0" t="n">
        <v>38.6</v>
      </c>
      <c r="AL95" s="0" t="n">
        <v>34.258</v>
      </c>
      <c r="AM95" s="0" t="n">
        <v>0</v>
      </c>
      <c r="AN95" s="0" t="n">
        <v>53.526</v>
      </c>
      <c r="AO95" s="0" t="n">
        <v>27552000</v>
      </c>
      <c r="AP95" s="0" t="n">
        <v>59</v>
      </c>
      <c r="AQ95" s="0" t="n">
        <v>0.997305807650036</v>
      </c>
      <c r="AR95" s="0" t="n">
        <v>0.997943925233645</v>
      </c>
      <c r="AS95" s="0" t="s">
        <v>462</v>
      </c>
      <c r="AT95" s="0" t="s">
        <v>463</v>
      </c>
      <c r="AU95" s="0" t="s">
        <v>464</v>
      </c>
      <c r="AV95" s="0" t="s">
        <v>465</v>
      </c>
      <c r="AW95" s="0" t="s">
        <v>145</v>
      </c>
      <c r="AZ95" s="0" t="n">
        <v>186</v>
      </c>
    </row>
    <row r="96" customFormat="false" ht="15" hidden="false" customHeight="false" outlineLevel="0" collapsed="false">
      <c r="A96" s="0" t="n">
        <v>20.18423</v>
      </c>
      <c r="B96" s="0" t="n">
        <v>19.78547</v>
      </c>
      <c r="C96" s="0" t="n">
        <v>20.338</v>
      </c>
      <c r="D96" s="0" t="n">
        <v>19.59407</v>
      </c>
      <c r="E96" s="0" t="n">
        <v>20.21039</v>
      </c>
      <c r="F96" s="0" t="n">
        <v>19.21748</v>
      </c>
      <c r="G96" s="0" t="n">
        <v>19.89071</v>
      </c>
      <c r="H96" s="0" t="n">
        <v>19.52571</v>
      </c>
      <c r="I96" s="0" t="n">
        <v>20.62845</v>
      </c>
      <c r="J96" s="0" t="n">
        <v>18.9613</v>
      </c>
      <c r="K96" s="0" t="n">
        <v>16.92265</v>
      </c>
      <c r="L96" s="0" t="n">
        <v>18.28225</v>
      </c>
      <c r="M96" s="0" t="n">
        <v>20.61612</v>
      </c>
      <c r="N96" s="0" t="n">
        <v>21.6329</v>
      </c>
      <c r="O96" s="0" t="n">
        <v>18.72511</v>
      </c>
      <c r="P96" s="0" t="n">
        <v>20.32378</v>
      </c>
      <c r="Q96" s="0" t="n">
        <v>20.51268</v>
      </c>
      <c r="R96" s="0" t="n">
        <v>19.61678</v>
      </c>
      <c r="S96" s="0" t="n">
        <v>19.85679</v>
      </c>
      <c r="T96" s="0" t="n">
        <v>19.27292</v>
      </c>
      <c r="U96" s="0" t="n">
        <v>18.36029</v>
      </c>
      <c r="V96" s="0" t="n">
        <v>19.24714</v>
      </c>
      <c r="W96" s="0" t="n">
        <v>20.43227</v>
      </c>
      <c r="X96" s="0" t="n">
        <v>20.33876</v>
      </c>
      <c r="Y96" s="0" t="n">
        <v>20.16656</v>
      </c>
      <c r="Z96" s="0" t="n">
        <v>19.62558</v>
      </c>
      <c r="AA96" s="0" t="n">
        <v>19.66541</v>
      </c>
      <c r="AF96" s="0" t="n">
        <v>9</v>
      </c>
      <c r="AG96" s="0" t="n">
        <v>9</v>
      </c>
      <c r="AH96" s="0" t="n">
        <v>9</v>
      </c>
      <c r="AI96" s="0" t="n">
        <v>45.9</v>
      </c>
      <c r="AJ96" s="0" t="n">
        <v>45.9</v>
      </c>
      <c r="AK96" s="0" t="n">
        <v>45.9</v>
      </c>
      <c r="AL96" s="0" t="n">
        <v>39.731</v>
      </c>
      <c r="AM96" s="0" t="n">
        <v>0</v>
      </c>
      <c r="AN96" s="0" t="n">
        <v>69.365</v>
      </c>
      <c r="AO96" s="0" t="n">
        <v>36309000</v>
      </c>
      <c r="AP96" s="0" t="n">
        <v>157</v>
      </c>
      <c r="AQ96" s="0" t="n">
        <v>0.827633756530232</v>
      </c>
      <c r="AR96" s="0" t="n">
        <v>0.948126315789474</v>
      </c>
      <c r="AS96" s="0" t="s">
        <v>466</v>
      </c>
      <c r="AT96" s="0" t="s">
        <v>467</v>
      </c>
      <c r="AU96" s="0" t="s">
        <v>468</v>
      </c>
      <c r="AV96" s="0" t="s">
        <v>469</v>
      </c>
      <c r="AW96" s="0" t="s">
        <v>226</v>
      </c>
      <c r="AZ96" s="0" t="n">
        <v>187</v>
      </c>
    </row>
    <row r="97" customFormat="false" ht="15" hidden="false" customHeight="false" outlineLevel="0" collapsed="false">
      <c r="A97" s="0" t="n">
        <v>16.72294</v>
      </c>
      <c r="B97" s="0" t="n">
        <v>17.20762</v>
      </c>
      <c r="C97" s="0" t="n">
        <v>16.06933</v>
      </c>
      <c r="D97" s="0" t="n">
        <v>16.74255</v>
      </c>
      <c r="E97" s="0" t="n">
        <v>16.72813</v>
      </c>
      <c r="F97" s="0" t="n">
        <v>16.86979</v>
      </c>
      <c r="G97" s="0" t="n">
        <v>16.30706</v>
      </c>
      <c r="H97" s="0" t="n">
        <v>17.07096</v>
      </c>
      <c r="I97" s="0" t="n">
        <v>17.04473</v>
      </c>
      <c r="J97" s="0" t="n">
        <v>16.551</v>
      </c>
      <c r="K97" s="0" t="n">
        <v>16.54299</v>
      </c>
      <c r="L97" s="0" t="n">
        <v>16.5664</v>
      </c>
      <c r="M97" s="0" t="n">
        <v>16.7969</v>
      </c>
      <c r="N97" s="0" t="n">
        <v>18.23949</v>
      </c>
      <c r="O97" s="0" t="n">
        <v>16.29385</v>
      </c>
      <c r="P97" s="0" t="n">
        <v>17.10738</v>
      </c>
      <c r="Q97" s="0" t="n">
        <v>17.32034</v>
      </c>
      <c r="R97" s="0" t="n">
        <v>16.7086</v>
      </c>
      <c r="S97" s="0" t="n">
        <v>16.44239</v>
      </c>
      <c r="T97" s="0" t="n">
        <v>16.98415</v>
      </c>
      <c r="U97" s="0" t="n">
        <v>16.06617</v>
      </c>
      <c r="V97" s="0" t="n">
        <v>17.40483</v>
      </c>
      <c r="W97" s="0" t="n">
        <v>16.61367</v>
      </c>
      <c r="X97" s="0" t="n">
        <v>16.67038</v>
      </c>
      <c r="Y97" s="0" t="n">
        <v>16.64188</v>
      </c>
      <c r="Z97" s="0" t="n">
        <v>16.76111</v>
      </c>
      <c r="AA97" s="0" t="n">
        <v>17.22769</v>
      </c>
      <c r="AF97" s="0" t="n">
        <v>10</v>
      </c>
      <c r="AG97" s="0" t="n">
        <v>10</v>
      </c>
      <c r="AH97" s="0" t="n">
        <v>10</v>
      </c>
      <c r="AI97" s="0" t="n">
        <v>33</v>
      </c>
      <c r="AJ97" s="0" t="n">
        <v>33</v>
      </c>
      <c r="AK97" s="0" t="n">
        <v>33</v>
      </c>
      <c r="AL97" s="0" t="n">
        <v>48.541</v>
      </c>
      <c r="AM97" s="0" t="n">
        <v>0</v>
      </c>
      <c r="AN97" s="0" t="n">
        <v>23.55</v>
      </c>
      <c r="AO97" s="0" t="n">
        <v>4140400</v>
      </c>
      <c r="AP97" s="0" t="n">
        <v>35</v>
      </c>
      <c r="AQ97" s="0" t="n">
        <v>0.478194083682262</v>
      </c>
      <c r="AR97" s="0" t="n">
        <v>0.8936</v>
      </c>
      <c r="AS97" s="0" t="s">
        <v>470</v>
      </c>
      <c r="AT97" s="0" t="s">
        <v>470</v>
      </c>
      <c r="AU97" s="0" t="s">
        <v>471</v>
      </c>
      <c r="AV97" s="0" t="s">
        <v>472</v>
      </c>
      <c r="AW97" s="0" t="s">
        <v>145</v>
      </c>
      <c r="AZ97" s="0" t="n">
        <v>188</v>
      </c>
    </row>
    <row r="98" customFormat="false" ht="15" hidden="false" customHeight="false" outlineLevel="0" collapsed="false">
      <c r="A98" s="0" t="n">
        <v>18.01416</v>
      </c>
      <c r="B98" s="0" t="n">
        <v>18.01334</v>
      </c>
      <c r="C98" s="0" t="n">
        <v>17.68463</v>
      </c>
      <c r="D98" s="0" t="n">
        <v>16.36651</v>
      </c>
      <c r="E98" s="0" t="n">
        <v>17.46036</v>
      </c>
      <c r="F98" s="0" t="n">
        <v>17.54238</v>
      </c>
      <c r="G98" s="0" t="n">
        <v>17.27621</v>
      </c>
      <c r="H98" s="0" t="n">
        <v>18.2937</v>
      </c>
      <c r="I98" s="0" t="n">
        <v>17.29894</v>
      </c>
      <c r="J98" s="0" t="n">
        <v>17.42931</v>
      </c>
      <c r="K98" s="0" t="n">
        <v>16.81416</v>
      </c>
      <c r="L98" s="0" t="n">
        <v>16.37772</v>
      </c>
      <c r="M98" s="0" t="n">
        <v>18.57245</v>
      </c>
      <c r="N98" s="0" t="n">
        <v>18.89051</v>
      </c>
      <c r="O98" s="0" t="n">
        <v>17.1433</v>
      </c>
      <c r="P98" s="0" t="n">
        <v>17.62557</v>
      </c>
      <c r="Q98" s="0" t="n">
        <v>18.24623</v>
      </c>
      <c r="R98" s="0" t="n">
        <v>17.54857</v>
      </c>
      <c r="S98" s="0" t="n">
        <v>17.22213</v>
      </c>
      <c r="T98" s="0" t="n">
        <v>17.4935</v>
      </c>
      <c r="U98" s="0" t="n">
        <v>17.01531</v>
      </c>
      <c r="V98" s="0" t="n">
        <v>17.77822</v>
      </c>
      <c r="W98" s="0" t="n">
        <v>17.64997</v>
      </c>
      <c r="X98" s="0" t="n">
        <v>17.86278</v>
      </c>
      <c r="Y98" s="0" t="n">
        <v>17.49826</v>
      </c>
      <c r="Z98" s="0" t="n">
        <v>17.80032</v>
      </c>
      <c r="AA98" s="0" t="n">
        <v>18.49518</v>
      </c>
      <c r="AF98" s="0" t="n">
        <v>10</v>
      </c>
      <c r="AG98" s="0" t="n">
        <v>10</v>
      </c>
      <c r="AH98" s="0" t="n">
        <v>10</v>
      </c>
      <c r="AI98" s="0" t="n">
        <v>23.8</v>
      </c>
      <c r="AJ98" s="0" t="n">
        <v>23.8</v>
      </c>
      <c r="AK98" s="0" t="n">
        <v>23.8</v>
      </c>
      <c r="AL98" s="0" t="n">
        <v>66.034</v>
      </c>
      <c r="AM98" s="0" t="n">
        <v>0</v>
      </c>
      <c r="AN98" s="0" t="n">
        <v>14.549</v>
      </c>
      <c r="AO98" s="0" t="n">
        <v>7670600</v>
      </c>
      <c r="AP98" s="0" t="n">
        <v>51</v>
      </c>
      <c r="AQ98" s="0" t="n">
        <v>0.891385535152834</v>
      </c>
      <c r="AR98" s="0" t="n">
        <v>0.981877551020408</v>
      </c>
      <c r="AS98" s="0" t="s">
        <v>473</v>
      </c>
      <c r="AT98" s="0" t="s">
        <v>473</v>
      </c>
      <c r="AU98" s="0" t="s">
        <v>474</v>
      </c>
      <c r="AV98" s="0" t="s">
        <v>475</v>
      </c>
      <c r="AW98" s="0" t="s">
        <v>145</v>
      </c>
      <c r="AZ98" s="0" t="n">
        <v>190</v>
      </c>
    </row>
    <row r="99" customFormat="false" ht="15" hidden="false" customHeight="false" outlineLevel="0" collapsed="false">
      <c r="A99" s="0" t="n">
        <v>17.16516</v>
      </c>
      <c r="B99" s="0" t="n">
        <v>17.9255</v>
      </c>
      <c r="C99" s="0" t="n">
        <v>17.80719</v>
      </c>
      <c r="D99" s="0" t="n">
        <v>16.79259</v>
      </c>
      <c r="E99" s="0" t="n">
        <v>17.27258</v>
      </c>
      <c r="F99" s="0" t="n">
        <v>17.52183</v>
      </c>
      <c r="G99" s="0" t="n">
        <v>17.32825</v>
      </c>
      <c r="H99" s="0" t="n">
        <v>17.14629</v>
      </c>
      <c r="I99" s="0" t="n">
        <v>18.02329</v>
      </c>
      <c r="J99" s="0" t="n">
        <v>17.75022</v>
      </c>
      <c r="K99" s="0" t="n">
        <v>17.73167</v>
      </c>
      <c r="L99" s="0" t="n">
        <v>17.22844</v>
      </c>
      <c r="M99" s="0" t="n">
        <v>17.34334</v>
      </c>
      <c r="N99" s="0" t="n">
        <v>19.8525</v>
      </c>
      <c r="O99" s="0" t="n">
        <v>17.75218</v>
      </c>
      <c r="P99" s="0" t="n">
        <v>17.04292</v>
      </c>
      <c r="Q99" s="0" t="n">
        <v>17.69316</v>
      </c>
      <c r="R99" s="0" t="n">
        <v>17.49436</v>
      </c>
      <c r="S99" s="0" t="n">
        <v>17.01171</v>
      </c>
      <c r="T99" s="0" t="n">
        <v>17.60617</v>
      </c>
      <c r="U99" s="0" t="n">
        <v>17.89971</v>
      </c>
      <c r="V99" s="0" t="n">
        <v>17.40183</v>
      </c>
      <c r="W99" s="0" t="n">
        <v>18.25792</v>
      </c>
      <c r="X99" s="0" t="n">
        <v>17.26984</v>
      </c>
      <c r="Y99" s="0" t="n">
        <v>16.845</v>
      </c>
      <c r="Z99" s="0" t="n">
        <v>17.83855</v>
      </c>
      <c r="AA99" s="0" t="n">
        <v>16.42721</v>
      </c>
      <c r="AF99" s="0" t="n">
        <v>9</v>
      </c>
      <c r="AG99" s="0" t="n">
        <v>9</v>
      </c>
      <c r="AH99" s="0" t="n">
        <v>9</v>
      </c>
      <c r="AI99" s="0" t="n">
        <v>27.8</v>
      </c>
      <c r="AJ99" s="0" t="n">
        <v>27.8</v>
      </c>
      <c r="AK99" s="0" t="n">
        <v>27.8</v>
      </c>
      <c r="AL99" s="0" t="n">
        <v>46.312</v>
      </c>
      <c r="AM99" s="0" t="n">
        <v>0</v>
      </c>
      <c r="AN99" s="0" t="n">
        <v>59.624</v>
      </c>
      <c r="AO99" s="0" t="n">
        <v>7551100</v>
      </c>
      <c r="AP99" s="0" t="n">
        <v>51</v>
      </c>
      <c r="AQ99" s="0" t="n">
        <v>0.653950770327249</v>
      </c>
      <c r="AR99" s="0" t="n">
        <v>0.90425</v>
      </c>
      <c r="AS99" s="0" t="s">
        <v>476</v>
      </c>
      <c r="AT99" s="0" t="s">
        <v>477</v>
      </c>
      <c r="AU99" s="0" t="s">
        <v>478</v>
      </c>
      <c r="AV99" s="0" t="s">
        <v>479</v>
      </c>
      <c r="AW99" s="0" t="s">
        <v>226</v>
      </c>
      <c r="AZ99" s="0" t="n">
        <v>191</v>
      </c>
    </row>
    <row r="100" customFormat="false" ht="15" hidden="false" customHeight="false" outlineLevel="0" collapsed="false">
      <c r="A100" s="0" t="n">
        <v>19.30021</v>
      </c>
      <c r="B100" s="0" t="n">
        <v>20.39613</v>
      </c>
      <c r="C100" s="0" t="n">
        <v>21.44567</v>
      </c>
      <c r="D100" s="0" t="n">
        <v>19.55843</v>
      </c>
      <c r="E100" s="0" t="n">
        <v>20.11121</v>
      </c>
      <c r="F100" s="0" t="n">
        <v>20.26819</v>
      </c>
      <c r="G100" s="0" t="n">
        <v>19.60523</v>
      </c>
      <c r="H100" s="0" t="n">
        <v>19.7123</v>
      </c>
      <c r="I100" s="0" t="n">
        <v>19.70514</v>
      </c>
      <c r="J100" s="0" t="n">
        <v>20.4051</v>
      </c>
      <c r="K100" s="0" t="n">
        <v>16.57971</v>
      </c>
      <c r="L100" s="0" t="n">
        <v>20.17524</v>
      </c>
      <c r="M100" s="0" t="n">
        <v>19.83209</v>
      </c>
      <c r="N100" s="0" t="n">
        <v>19.9549</v>
      </c>
      <c r="O100" s="0" t="n">
        <v>20.53535</v>
      </c>
      <c r="P100" s="0" t="n">
        <v>19.73359</v>
      </c>
      <c r="Q100" s="0" t="n">
        <v>20.63272</v>
      </c>
      <c r="R100" s="0" t="n">
        <v>20.34299</v>
      </c>
      <c r="S100" s="0" t="n">
        <v>20.13044</v>
      </c>
      <c r="T100" s="0" t="n">
        <v>19.51916</v>
      </c>
      <c r="U100" s="0" t="n">
        <v>19.38389</v>
      </c>
      <c r="V100" s="0" t="n">
        <v>20.85415</v>
      </c>
      <c r="W100" s="0" t="n">
        <v>20.86575</v>
      </c>
      <c r="X100" s="0" t="n">
        <v>20.46881</v>
      </c>
      <c r="Y100" s="0" t="n">
        <v>19.70337</v>
      </c>
      <c r="Z100" s="0" t="n">
        <v>20.27946</v>
      </c>
      <c r="AA100" s="0" t="n">
        <v>20.38427</v>
      </c>
      <c r="AF100" s="0" t="n">
        <v>17</v>
      </c>
      <c r="AG100" s="0" t="n">
        <v>17</v>
      </c>
      <c r="AH100" s="0" t="n">
        <v>17</v>
      </c>
      <c r="AI100" s="0" t="n">
        <v>36.2</v>
      </c>
      <c r="AJ100" s="0" t="n">
        <v>36.2</v>
      </c>
      <c r="AK100" s="0" t="n">
        <v>36.2</v>
      </c>
      <c r="AL100" s="0" t="n">
        <v>69.068</v>
      </c>
      <c r="AM100" s="0" t="n">
        <v>0</v>
      </c>
      <c r="AN100" s="0" t="n">
        <v>162.12</v>
      </c>
      <c r="AO100" s="0" t="n">
        <v>45273000</v>
      </c>
      <c r="AP100" s="0" t="n">
        <v>93</v>
      </c>
      <c r="AQ100" s="0" t="n">
        <v>0.516873100752991</v>
      </c>
      <c r="AR100" s="0" t="n">
        <v>0.850117647058824</v>
      </c>
      <c r="AS100" s="0" t="s">
        <v>480</v>
      </c>
      <c r="AT100" s="0" t="s">
        <v>481</v>
      </c>
      <c r="AU100" s="0" t="s">
        <v>482</v>
      </c>
      <c r="AV100" s="0" t="s">
        <v>483</v>
      </c>
      <c r="AW100" s="0" t="s">
        <v>484</v>
      </c>
      <c r="AZ100" s="0" t="n">
        <v>193</v>
      </c>
    </row>
    <row r="101" customFormat="false" ht="15" hidden="false" customHeight="false" outlineLevel="0" collapsed="false">
      <c r="A101" s="0" t="n">
        <v>14.03627</v>
      </c>
      <c r="B101" s="0" t="n">
        <v>16.23437</v>
      </c>
      <c r="C101" s="0" t="n">
        <v>15.82404</v>
      </c>
      <c r="D101" s="0" t="n">
        <v>16.35583</v>
      </c>
      <c r="E101" s="0" t="n">
        <v>15.86986</v>
      </c>
      <c r="F101" s="0" t="n">
        <v>16.44121</v>
      </c>
      <c r="G101" s="0" t="n">
        <v>17.02767</v>
      </c>
      <c r="H101" s="0" t="n">
        <v>16.0392</v>
      </c>
      <c r="I101" s="0" t="n">
        <v>16.06236</v>
      </c>
      <c r="J101" s="0" t="n">
        <v>17.07577</v>
      </c>
      <c r="K101" s="0" t="n">
        <v>16.35087</v>
      </c>
      <c r="L101" s="0" t="n">
        <v>15.3765</v>
      </c>
      <c r="M101" s="0" t="n">
        <v>16.54881</v>
      </c>
      <c r="N101" s="0" t="n">
        <v>18.96972</v>
      </c>
      <c r="O101" s="0" t="n">
        <v>16.73899</v>
      </c>
      <c r="P101" s="0" t="n">
        <v>16.19608</v>
      </c>
      <c r="Q101" s="0" t="n">
        <v>16.13847</v>
      </c>
      <c r="R101" s="0" t="n">
        <v>15.22479</v>
      </c>
      <c r="S101" s="0" t="n">
        <v>16.2546</v>
      </c>
      <c r="T101" s="0" t="n">
        <v>16.12475</v>
      </c>
      <c r="U101" s="0" t="n">
        <v>16.06767</v>
      </c>
      <c r="V101" s="0" t="n">
        <v>15.63317</v>
      </c>
      <c r="W101" s="0" t="n">
        <v>16.03006</v>
      </c>
      <c r="X101" s="0" t="n">
        <v>16.36465</v>
      </c>
      <c r="Y101" s="0" t="n">
        <v>15.92766</v>
      </c>
      <c r="Z101" s="0" t="n">
        <v>16.99137</v>
      </c>
      <c r="AA101" s="0" t="n">
        <v>16.45659</v>
      </c>
      <c r="AF101" s="0" t="n">
        <v>7</v>
      </c>
      <c r="AG101" s="0" t="n">
        <v>7</v>
      </c>
      <c r="AH101" s="0" t="n">
        <v>7</v>
      </c>
      <c r="AI101" s="0" t="n">
        <v>25.4</v>
      </c>
      <c r="AJ101" s="0" t="n">
        <v>25.4</v>
      </c>
      <c r="AK101" s="0" t="n">
        <v>25.4</v>
      </c>
      <c r="AL101" s="0" t="n">
        <v>38.429</v>
      </c>
      <c r="AM101" s="0" t="n">
        <v>0</v>
      </c>
      <c r="AN101" s="0" t="n">
        <v>6.2724</v>
      </c>
      <c r="AO101" s="0" t="n">
        <v>3336000</v>
      </c>
      <c r="AP101" s="0" t="n">
        <v>19</v>
      </c>
      <c r="AQ101" s="0" t="n">
        <v>0.565502914164218</v>
      </c>
      <c r="AR101" s="0" t="n">
        <v>0.872777777777778</v>
      </c>
      <c r="AS101" s="0" t="s">
        <v>485</v>
      </c>
      <c r="AT101" s="0" t="s">
        <v>486</v>
      </c>
      <c r="AU101" s="0" t="s">
        <v>487</v>
      </c>
      <c r="AV101" s="0" t="s">
        <v>488</v>
      </c>
      <c r="AW101" s="0" t="s">
        <v>150</v>
      </c>
      <c r="AZ101" s="0" t="n">
        <v>195</v>
      </c>
    </row>
    <row r="102" customFormat="false" ht="15" hidden="false" customHeight="false" outlineLevel="0" collapsed="false">
      <c r="A102" s="0" t="n">
        <v>15.27365</v>
      </c>
      <c r="B102" s="0" t="n">
        <v>14.9427</v>
      </c>
      <c r="C102" s="0" t="n">
        <v>16.32171</v>
      </c>
      <c r="D102" s="0" t="n">
        <v>14.21961</v>
      </c>
      <c r="E102" s="0" t="n">
        <v>14.85219</v>
      </c>
      <c r="F102" s="0" t="n">
        <v>15.31388</v>
      </c>
      <c r="G102" s="0" t="n">
        <v>15.24574</v>
      </c>
      <c r="H102" s="0" t="n">
        <v>15.05689</v>
      </c>
      <c r="I102" s="0" t="n">
        <v>15.55618</v>
      </c>
      <c r="J102" s="0" t="n">
        <v>15.01385</v>
      </c>
      <c r="K102" s="0" t="n">
        <v>16.79737</v>
      </c>
      <c r="L102" s="0" t="n">
        <v>14.66955</v>
      </c>
      <c r="M102" s="0" t="n">
        <v>15.05549</v>
      </c>
      <c r="N102" s="0" t="n">
        <v>16.1135</v>
      </c>
      <c r="O102" s="0" t="n">
        <v>14.70444</v>
      </c>
      <c r="P102" s="0" t="n">
        <v>15.11553</v>
      </c>
      <c r="Q102" s="0" t="n">
        <v>15.43352</v>
      </c>
      <c r="R102" s="0" t="n">
        <v>15.09086</v>
      </c>
      <c r="S102" s="0" t="n">
        <v>14.43723</v>
      </c>
      <c r="T102" s="0" t="n">
        <v>14.91579</v>
      </c>
      <c r="U102" s="0" t="n">
        <v>14.93852</v>
      </c>
      <c r="V102" s="0" t="n">
        <v>14.69876</v>
      </c>
      <c r="W102" s="0" t="n">
        <v>15.15604</v>
      </c>
      <c r="X102" s="0" t="n">
        <v>14.78156</v>
      </c>
      <c r="Y102" s="0" t="n">
        <v>14.69659</v>
      </c>
      <c r="Z102" s="0" t="n">
        <v>15.14526</v>
      </c>
      <c r="AA102" s="0" t="n">
        <v>15.15506</v>
      </c>
      <c r="AF102" s="0" t="n">
        <v>3</v>
      </c>
      <c r="AG102" s="0" t="n">
        <v>3</v>
      </c>
      <c r="AH102" s="0" t="n">
        <v>3</v>
      </c>
      <c r="AI102" s="0" t="n">
        <v>10.3</v>
      </c>
      <c r="AJ102" s="0" t="n">
        <v>10.3</v>
      </c>
      <c r="AK102" s="0" t="n">
        <v>10.3</v>
      </c>
      <c r="AL102" s="0" t="n">
        <v>44.135</v>
      </c>
      <c r="AM102" s="0" t="n">
        <v>0</v>
      </c>
      <c r="AN102" s="0" t="n">
        <v>2.5777</v>
      </c>
      <c r="AO102" s="0" t="n">
        <v>1151100</v>
      </c>
      <c r="AP102" s="0" t="n">
        <v>14</v>
      </c>
      <c r="AQ102" s="0" t="n">
        <v>0.516631879282338</v>
      </c>
      <c r="AR102" s="0" t="n">
        <v>0.862328358208955</v>
      </c>
      <c r="AS102" s="0" t="s">
        <v>489</v>
      </c>
      <c r="AT102" s="0" t="s">
        <v>489</v>
      </c>
      <c r="AU102" s="0" t="s">
        <v>490</v>
      </c>
      <c r="AV102" s="0" t="s">
        <v>491</v>
      </c>
      <c r="AW102" s="0" t="s">
        <v>65</v>
      </c>
      <c r="AZ102" s="0" t="n">
        <v>196</v>
      </c>
    </row>
    <row r="103" customFormat="false" ht="15" hidden="false" customHeight="false" outlineLevel="0" collapsed="false">
      <c r="A103" s="0" t="n">
        <v>21.49135</v>
      </c>
      <c r="B103" s="0" t="n">
        <v>20.11502</v>
      </c>
      <c r="C103" s="0" t="n">
        <v>20.30486</v>
      </c>
      <c r="D103" s="0" t="n">
        <v>19.23084</v>
      </c>
      <c r="E103" s="0" t="n">
        <v>18.93206</v>
      </c>
      <c r="F103" s="0" t="n">
        <v>20.56941</v>
      </c>
      <c r="G103" s="0" t="n">
        <v>19.87584</v>
      </c>
      <c r="H103" s="0" t="n">
        <v>19.43194</v>
      </c>
      <c r="I103" s="0" t="n">
        <v>18.70401</v>
      </c>
      <c r="J103" s="0" t="n">
        <v>19.50182</v>
      </c>
      <c r="K103" s="0" t="n">
        <v>17.99551</v>
      </c>
      <c r="L103" s="0" t="n">
        <v>20.30541</v>
      </c>
      <c r="M103" s="0" t="n">
        <v>20.30341</v>
      </c>
      <c r="N103" s="0" t="n">
        <v>21.5623</v>
      </c>
      <c r="O103" s="0" t="n">
        <v>20.28501</v>
      </c>
      <c r="P103" s="0" t="n">
        <v>21.19412</v>
      </c>
      <c r="Q103" s="0" t="n">
        <v>20.55628</v>
      </c>
      <c r="R103" s="0" t="n">
        <v>19.97771</v>
      </c>
      <c r="S103" s="0" t="n">
        <v>18.31889</v>
      </c>
      <c r="T103" s="0" t="n">
        <v>21.36052</v>
      </c>
      <c r="U103" s="0" t="n">
        <v>22.45889</v>
      </c>
      <c r="V103" s="0" t="n">
        <v>22.09555</v>
      </c>
      <c r="W103" s="0" t="n">
        <v>20.08809</v>
      </c>
      <c r="X103" s="0" t="n">
        <v>18.14086</v>
      </c>
      <c r="Y103" s="0" t="n">
        <v>21.33636</v>
      </c>
      <c r="Z103" s="0" t="n">
        <v>19.97337</v>
      </c>
      <c r="AA103" s="0" t="n">
        <v>18.02313</v>
      </c>
      <c r="AF103" s="0" t="n">
        <v>11</v>
      </c>
      <c r="AG103" s="0" t="n">
        <v>11</v>
      </c>
      <c r="AH103" s="0" t="n">
        <v>6</v>
      </c>
      <c r="AI103" s="0" t="n">
        <v>77.6</v>
      </c>
      <c r="AJ103" s="0" t="n">
        <v>77.6</v>
      </c>
      <c r="AK103" s="0" t="n">
        <v>51</v>
      </c>
      <c r="AL103" s="0" t="n">
        <v>15.998</v>
      </c>
      <c r="AM103" s="0" t="n">
        <v>0</v>
      </c>
      <c r="AN103" s="0" t="n">
        <v>43.4</v>
      </c>
      <c r="AO103" s="0" t="n">
        <v>67902000</v>
      </c>
      <c r="AP103" s="0" t="n">
        <v>119</v>
      </c>
      <c r="AQ103" s="0" t="n">
        <v>0.472072555765087</v>
      </c>
      <c r="AR103" s="0" t="n">
        <v>0.898983050847458</v>
      </c>
      <c r="AS103" s="0" t="s">
        <v>492</v>
      </c>
      <c r="AT103" s="0" t="s">
        <v>493</v>
      </c>
      <c r="AU103" s="0" t="s">
        <v>494</v>
      </c>
      <c r="AV103" s="0" t="s">
        <v>495</v>
      </c>
      <c r="AW103" s="0" t="s">
        <v>284</v>
      </c>
      <c r="AX103" s="0" t="n">
        <v>111</v>
      </c>
      <c r="AY103" s="0" t="n">
        <v>56</v>
      </c>
      <c r="AZ103" s="0" t="n">
        <v>197</v>
      </c>
    </row>
    <row r="104" customFormat="false" ht="15" hidden="false" customHeight="false" outlineLevel="0" collapsed="false">
      <c r="A104" s="0" t="n">
        <v>20.26671</v>
      </c>
      <c r="B104" s="0" t="n">
        <v>20.13132</v>
      </c>
      <c r="C104" s="0" t="n">
        <v>17.95094</v>
      </c>
      <c r="D104" s="0" t="n">
        <v>19.75483</v>
      </c>
      <c r="E104" s="0" t="n">
        <v>19.21466</v>
      </c>
      <c r="F104" s="0" t="n">
        <v>19.45565</v>
      </c>
      <c r="G104" s="0" t="n">
        <v>18.87352</v>
      </c>
      <c r="H104" s="0" t="n">
        <v>19.74292</v>
      </c>
      <c r="I104" s="0" t="n">
        <v>17.75708</v>
      </c>
      <c r="J104" s="0" t="n">
        <v>19.65941</v>
      </c>
      <c r="K104" s="0" t="n">
        <v>15.90448</v>
      </c>
      <c r="L104" s="0" t="n">
        <v>17.0927</v>
      </c>
      <c r="M104" s="0" t="n">
        <v>20.79503</v>
      </c>
      <c r="N104" s="0" t="n">
        <v>19.18486</v>
      </c>
      <c r="O104" s="0" t="n">
        <v>18.45378</v>
      </c>
      <c r="P104" s="0" t="n">
        <v>21.40676</v>
      </c>
      <c r="Q104" s="0" t="n">
        <v>20.62319</v>
      </c>
      <c r="R104" s="0" t="n">
        <v>19.52631</v>
      </c>
      <c r="S104" s="0" t="n">
        <v>19.06663</v>
      </c>
      <c r="T104" s="0" t="n">
        <v>21.17986</v>
      </c>
      <c r="U104" s="0" t="n">
        <v>21.31827</v>
      </c>
      <c r="V104" s="0" t="n">
        <v>19.91931</v>
      </c>
      <c r="W104" s="0" t="n">
        <v>20.35585</v>
      </c>
      <c r="X104" s="0" t="n">
        <v>18.53283</v>
      </c>
      <c r="Y104" s="0" t="n">
        <v>21.40161</v>
      </c>
      <c r="Z104" s="0" t="n">
        <v>19.16862</v>
      </c>
      <c r="AA104" s="0" t="n">
        <v>19.02066</v>
      </c>
      <c r="AF104" s="0" t="n">
        <v>7</v>
      </c>
      <c r="AG104" s="0" t="n">
        <v>7</v>
      </c>
      <c r="AH104" s="0" t="n">
        <v>5</v>
      </c>
      <c r="AI104" s="0" t="n">
        <v>65.5</v>
      </c>
      <c r="AJ104" s="0" t="n">
        <v>65.5</v>
      </c>
      <c r="AK104" s="0" t="n">
        <v>47.9</v>
      </c>
      <c r="AL104" s="0" t="n">
        <v>15.257</v>
      </c>
      <c r="AM104" s="0" t="n">
        <v>0</v>
      </c>
      <c r="AN104" s="0" t="n">
        <v>64.67</v>
      </c>
      <c r="AO104" s="0" t="n">
        <v>44828000</v>
      </c>
      <c r="AP104" s="0" t="n">
        <v>133</v>
      </c>
      <c r="AQ104" s="0" t="n">
        <v>0.441041809492909</v>
      </c>
      <c r="AR104" s="0" t="n">
        <v>0.885857142857143</v>
      </c>
      <c r="AS104" s="0" t="s">
        <v>496</v>
      </c>
      <c r="AT104" s="0" t="s">
        <v>496</v>
      </c>
      <c r="AU104" s="0" t="s">
        <v>497</v>
      </c>
      <c r="AV104" s="0" t="s">
        <v>498</v>
      </c>
      <c r="AW104" s="0" t="s">
        <v>150</v>
      </c>
      <c r="AX104" s="0" t="n">
        <v>30</v>
      </c>
      <c r="AY104" s="0" t="n">
        <v>33</v>
      </c>
      <c r="AZ104" s="0" t="n">
        <v>198</v>
      </c>
    </row>
    <row r="105" customFormat="false" ht="15" hidden="false" customHeight="false" outlineLevel="0" collapsed="false">
      <c r="A105" s="0" t="n">
        <v>14.75468</v>
      </c>
      <c r="B105" s="0" t="n">
        <v>14.72595</v>
      </c>
      <c r="C105" s="0" t="n">
        <v>16.23142</v>
      </c>
      <c r="D105" s="0" t="n">
        <v>14.84127</v>
      </c>
      <c r="E105" s="0" t="n">
        <v>14.88221</v>
      </c>
      <c r="F105" s="0" t="n">
        <v>13.98811</v>
      </c>
      <c r="G105" s="0" t="n">
        <v>15.52522</v>
      </c>
      <c r="H105" s="0" t="n">
        <v>13.97939</v>
      </c>
      <c r="I105" s="0" t="n">
        <v>15.3066</v>
      </c>
      <c r="J105" s="0" t="n">
        <v>14.38296</v>
      </c>
      <c r="K105" s="0" t="n">
        <v>17.40277</v>
      </c>
      <c r="L105" s="0" t="n">
        <v>15.23949</v>
      </c>
      <c r="M105" s="0" t="n">
        <v>14.69789</v>
      </c>
      <c r="N105" s="0" t="n">
        <v>13.97215</v>
      </c>
      <c r="O105" s="0" t="n">
        <v>14.15553</v>
      </c>
      <c r="P105" s="0" t="n">
        <v>14.43365</v>
      </c>
      <c r="Q105" s="0" t="n">
        <v>14.69572</v>
      </c>
      <c r="R105" s="0" t="n">
        <v>14.20661</v>
      </c>
      <c r="S105" s="0" t="n">
        <v>14.68564</v>
      </c>
      <c r="T105" s="0" t="n">
        <v>14.55836</v>
      </c>
      <c r="U105" s="0" t="n">
        <v>13.28099</v>
      </c>
      <c r="V105" s="0" t="n">
        <v>14.68967</v>
      </c>
      <c r="W105" s="0" t="n">
        <v>15.24548</v>
      </c>
      <c r="X105" s="0" t="n">
        <v>15.51095</v>
      </c>
      <c r="Y105" s="0" t="n">
        <v>15.10161</v>
      </c>
      <c r="Z105" s="0" t="n">
        <v>14.69659</v>
      </c>
      <c r="AA105" s="0" t="n">
        <v>15.27605</v>
      </c>
      <c r="AF105" s="0" t="n">
        <v>6</v>
      </c>
      <c r="AG105" s="0" t="n">
        <v>6</v>
      </c>
      <c r="AH105" s="0" t="n">
        <v>6</v>
      </c>
      <c r="AI105" s="0" t="n">
        <v>12.5</v>
      </c>
      <c r="AJ105" s="0" t="n">
        <v>12.5</v>
      </c>
      <c r="AK105" s="0" t="n">
        <v>12.5</v>
      </c>
      <c r="AL105" s="0" t="n">
        <v>92.335</v>
      </c>
      <c r="AM105" s="0" t="n">
        <v>0</v>
      </c>
      <c r="AN105" s="0" t="n">
        <v>5.999</v>
      </c>
      <c r="AO105" s="0" t="n">
        <v>963000</v>
      </c>
      <c r="AP105" s="0" t="n">
        <v>11</v>
      </c>
      <c r="AQ105" s="0" t="n">
        <v>0.804233141898505</v>
      </c>
      <c r="AR105" s="0" t="n">
        <v>0.934851063829787</v>
      </c>
      <c r="AS105" s="0" t="s">
        <v>499</v>
      </c>
      <c r="AT105" s="0" t="s">
        <v>500</v>
      </c>
      <c r="AU105" s="0" t="s">
        <v>501</v>
      </c>
      <c r="AV105" s="0" t="s">
        <v>502</v>
      </c>
      <c r="AW105" s="0" t="s">
        <v>155</v>
      </c>
      <c r="AZ105" s="0" t="n">
        <v>199</v>
      </c>
    </row>
    <row r="106" customFormat="false" ht="15" hidden="false" customHeight="false" outlineLevel="0" collapsed="false">
      <c r="A106" s="0" t="n">
        <v>18.58886</v>
      </c>
      <c r="B106" s="0" t="n">
        <v>17.79576</v>
      </c>
      <c r="C106" s="0" t="n">
        <v>16.48133</v>
      </c>
      <c r="D106" s="0" t="n">
        <v>17.79132</v>
      </c>
      <c r="E106" s="0" t="n">
        <v>17.45467</v>
      </c>
      <c r="F106" s="0" t="n">
        <v>19.15842</v>
      </c>
      <c r="G106" s="0" t="n">
        <v>15.31405</v>
      </c>
      <c r="H106" s="0" t="n">
        <v>17.4602</v>
      </c>
      <c r="I106" s="0" t="n">
        <v>18.0541</v>
      </c>
      <c r="J106" s="0" t="n">
        <v>18.80502</v>
      </c>
      <c r="K106" s="0" t="n">
        <v>16.69588</v>
      </c>
      <c r="L106" s="0" t="n">
        <v>16.9659</v>
      </c>
      <c r="M106" s="0" t="n">
        <v>17.73681</v>
      </c>
      <c r="N106" s="0" t="n">
        <v>16.23874</v>
      </c>
      <c r="O106" s="0" t="n">
        <v>13.96768</v>
      </c>
      <c r="P106" s="0" t="n">
        <v>18.13129</v>
      </c>
      <c r="Q106" s="0" t="n">
        <v>17.956</v>
      </c>
      <c r="R106" s="0" t="n">
        <v>18.37649</v>
      </c>
      <c r="S106" s="0" t="n">
        <v>15.43994</v>
      </c>
      <c r="T106" s="0" t="n">
        <v>18.15793</v>
      </c>
      <c r="U106" s="0" t="n">
        <v>18.41642</v>
      </c>
      <c r="V106" s="0" t="n">
        <v>18.5087</v>
      </c>
      <c r="W106" s="0" t="n">
        <v>13.81614</v>
      </c>
      <c r="X106" s="0" t="n">
        <v>14.10724</v>
      </c>
      <c r="Y106" s="0" t="n">
        <v>14.03015</v>
      </c>
      <c r="Z106" s="0" t="n">
        <v>18.50502</v>
      </c>
      <c r="AA106" s="0" t="n">
        <v>17.18524</v>
      </c>
      <c r="AF106" s="0" t="n">
        <v>2</v>
      </c>
      <c r="AG106" s="0" t="n">
        <v>2</v>
      </c>
      <c r="AH106" s="0" t="n">
        <v>2</v>
      </c>
      <c r="AI106" s="0" t="n">
        <v>32.5</v>
      </c>
      <c r="AJ106" s="0" t="n">
        <v>32.5</v>
      </c>
      <c r="AK106" s="0" t="n">
        <v>32.5</v>
      </c>
      <c r="AL106" s="0" t="n">
        <v>12.446</v>
      </c>
      <c r="AM106" s="0" t="n">
        <v>0</v>
      </c>
      <c r="AN106" s="0" t="n">
        <v>30.059</v>
      </c>
      <c r="AO106" s="0" t="n">
        <v>8030100</v>
      </c>
      <c r="AP106" s="0" t="n">
        <v>17</v>
      </c>
      <c r="AQ106" s="0" t="n">
        <v>0.352353411049594</v>
      </c>
      <c r="AR106" s="0" t="n">
        <v>0.834083333333333</v>
      </c>
      <c r="AS106" s="0" t="s">
        <v>503</v>
      </c>
      <c r="AT106" s="0" t="s">
        <v>503</v>
      </c>
      <c r="AU106" s="0" t="s">
        <v>504</v>
      </c>
      <c r="AV106" s="0" t="s">
        <v>505</v>
      </c>
      <c r="AW106" s="0" t="s">
        <v>83</v>
      </c>
      <c r="AZ106" s="0" t="n">
        <v>200</v>
      </c>
    </row>
    <row r="107" customFormat="false" ht="15" hidden="false" customHeight="false" outlineLevel="0" collapsed="false">
      <c r="A107" s="0" t="n">
        <v>14.64954</v>
      </c>
      <c r="B107" s="0" t="n">
        <v>16.02671</v>
      </c>
      <c r="C107" s="0" t="n">
        <v>14.68657</v>
      </c>
      <c r="D107" s="0" t="n">
        <v>15.58908</v>
      </c>
      <c r="E107" s="0" t="n">
        <v>14.45475</v>
      </c>
      <c r="F107" s="0" t="n">
        <v>14.6135</v>
      </c>
      <c r="G107" s="0" t="n">
        <v>14.05858</v>
      </c>
      <c r="H107" s="0" t="n">
        <v>14.81573</v>
      </c>
      <c r="I107" s="0" t="n">
        <v>13.54959</v>
      </c>
      <c r="J107" s="0" t="n">
        <v>14.68332</v>
      </c>
      <c r="K107" s="0" t="n">
        <v>16.03515</v>
      </c>
      <c r="L107" s="0" t="n">
        <v>13.98735</v>
      </c>
      <c r="M107" s="0" t="n">
        <v>15.00584</v>
      </c>
      <c r="N107" s="0" t="n">
        <v>17.6197</v>
      </c>
      <c r="O107" s="0" t="n">
        <v>16.09651</v>
      </c>
      <c r="P107" s="0" t="n">
        <v>14.34117</v>
      </c>
      <c r="Q107" s="0" t="n">
        <v>14.94645</v>
      </c>
      <c r="R107" s="0" t="n">
        <v>14.47814</v>
      </c>
      <c r="S107" s="0" t="n">
        <v>14.57772</v>
      </c>
      <c r="T107" s="0" t="n">
        <v>14.66334</v>
      </c>
      <c r="U107" s="0" t="n">
        <v>14.71317</v>
      </c>
      <c r="V107" s="0" t="n">
        <v>14.74426</v>
      </c>
      <c r="W107" s="0" t="n">
        <v>14.20603</v>
      </c>
      <c r="X107" s="0" t="n">
        <v>14.17859</v>
      </c>
      <c r="Y107" s="0" t="n">
        <v>14.69566</v>
      </c>
      <c r="Z107" s="0" t="n">
        <v>15.07803</v>
      </c>
      <c r="AA107" s="0" t="n">
        <v>15.22079</v>
      </c>
      <c r="AF107" s="0" t="n">
        <v>5</v>
      </c>
      <c r="AG107" s="0" t="n">
        <v>5</v>
      </c>
      <c r="AH107" s="0" t="n">
        <v>5</v>
      </c>
      <c r="AI107" s="0" t="n">
        <v>13.5</v>
      </c>
      <c r="AJ107" s="0" t="n">
        <v>13.5</v>
      </c>
      <c r="AK107" s="0" t="n">
        <v>13.5</v>
      </c>
      <c r="AL107" s="0" t="n">
        <v>65.33</v>
      </c>
      <c r="AM107" s="0" t="n">
        <v>0</v>
      </c>
      <c r="AN107" s="0" t="n">
        <v>3.4044</v>
      </c>
      <c r="AO107" s="0" t="n">
        <v>1209500</v>
      </c>
      <c r="AP107" s="0" t="n">
        <v>9</v>
      </c>
      <c r="AQ107" s="0" t="n">
        <v>0.668887543902048</v>
      </c>
      <c r="AR107" s="0" t="n">
        <v>0.91116049382716</v>
      </c>
      <c r="AS107" s="0" t="s">
        <v>506</v>
      </c>
      <c r="AT107" s="0" t="s">
        <v>507</v>
      </c>
      <c r="AU107" s="0" t="s">
        <v>508</v>
      </c>
      <c r="AV107" s="0" t="s">
        <v>509</v>
      </c>
      <c r="AW107" s="0" t="s">
        <v>87</v>
      </c>
      <c r="AZ107" s="0" t="n">
        <v>201</v>
      </c>
    </row>
    <row r="108" customFormat="false" ht="15" hidden="false" customHeight="false" outlineLevel="0" collapsed="false">
      <c r="A108" s="0" t="n">
        <v>14.137</v>
      </c>
      <c r="B108" s="0" t="n">
        <v>15.61367</v>
      </c>
      <c r="C108" s="0" t="n">
        <v>15.98201</v>
      </c>
      <c r="D108" s="0" t="n">
        <v>15.25425</v>
      </c>
      <c r="E108" s="0" t="n">
        <v>15.04883</v>
      </c>
      <c r="F108" s="0" t="n">
        <v>15.56114</v>
      </c>
      <c r="G108" s="0" t="n">
        <v>15.14808</v>
      </c>
      <c r="H108" s="0" t="n">
        <v>15.20637</v>
      </c>
      <c r="I108" s="0" t="n">
        <v>13.84486</v>
      </c>
      <c r="J108" s="0" t="n">
        <v>14.44178</v>
      </c>
      <c r="K108" s="0" t="n">
        <v>17.50481</v>
      </c>
      <c r="L108" s="0" t="n">
        <v>14.08622</v>
      </c>
      <c r="M108" s="0" t="n">
        <v>15.68162</v>
      </c>
      <c r="N108" s="0" t="n">
        <v>15.86629</v>
      </c>
      <c r="O108" s="0" t="n">
        <v>14.2396</v>
      </c>
      <c r="P108" s="0" t="n">
        <v>14.55243</v>
      </c>
      <c r="Q108" s="0" t="n">
        <v>15.61278</v>
      </c>
      <c r="R108" s="0" t="n">
        <v>15.34385</v>
      </c>
      <c r="S108" s="0" t="n">
        <v>15.19645</v>
      </c>
      <c r="T108" s="0" t="n">
        <v>15.38647</v>
      </c>
      <c r="U108" s="0" t="n">
        <v>14.65352</v>
      </c>
      <c r="V108" s="0" t="n">
        <v>15.22</v>
      </c>
      <c r="W108" s="0" t="n">
        <v>14.94869</v>
      </c>
      <c r="X108" s="0" t="n">
        <v>15.71443</v>
      </c>
      <c r="Y108" s="0" t="n">
        <v>15.45533</v>
      </c>
      <c r="Z108" s="0" t="n">
        <v>14.95256</v>
      </c>
      <c r="AA108" s="0" t="n">
        <v>15.81496</v>
      </c>
      <c r="AF108" s="0" t="n">
        <v>4</v>
      </c>
      <c r="AG108" s="0" t="n">
        <v>4</v>
      </c>
      <c r="AH108" s="0" t="n">
        <v>4</v>
      </c>
      <c r="AI108" s="0" t="n">
        <v>17.6</v>
      </c>
      <c r="AJ108" s="0" t="n">
        <v>17.6</v>
      </c>
      <c r="AK108" s="0" t="n">
        <v>17.6</v>
      </c>
      <c r="AL108" s="0" t="n">
        <v>34.001</v>
      </c>
      <c r="AM108" s="0" t="n">
        <v>0</v>
      </c>
      <c r="AN108" s="0" t="n">
        <v>4.6286</v>
      </c>
      <c r="AO108" s="0" t="n">
        <v>1272600</v>
      </c>
      <c r="AP108" s="0" t="n">
        <v>15</v>
      </c>
      <c r="AQ108" s="0" t="n">
        <v>0.961697905043501</v>
      </c>
      <c r="AR108" s="0" t="n">
        <v>0.992461538461539</v>
      </c>
      <c r="AS108" s="0" t="s">
        <v>510</v>
      </c>
      <c r="AT108" s="0" t="s">
        <v>510</v>
      </c>
      <c r="AU108" s="0" t="s">
        <v>511</v>
      </c>
      <c r="AV108" s="0" t="s">
        <v>512</v>
      </c>
      <c r="AW108" s="0" t="s">
        <v>135</v>
      </c>
      <c r="AZ108" s="0" t="n">
        <v>205</v>
      </c>
    </row>
    <row r="109" customFormat="false" ht="15" hidden="false" customHeight="false" outlineLevel="0" collapsed="false">
      <c r="A109" s="0" t="n">
        <v>16.32722</v>
      </c>
      <c r="B109" s="0" t="n">
        <v>16.10183</v>
      </c>
      <c r="C109" s="0" t="n">
        <v>14.78937</v>
      </c>
      <c r="D109" s="0" t="n">
        <v>16.27159</v>
      </c>
      <c r="E109" s="0" t="n">
        <v>16.02721</v>
      </c>
      <c r="F109" s="0" t="n">
        <v>16.65088</v>
      </c>
      <c r="G109" s="0" t="n">
        <v>16.25211</v>
      </c>
      <c r="H109" s="0" t="n">
        <v>16.18045</v>
      </c>
      <c r="I109" s="0" t="n">
        <v>16.13835</v>
      </c>
      <c r="J109" s="0" t="n">
        <v>15.99199</v>
      </c>
      <c r="K109" s="0" t="n">
        <v>17.43068</v>
      </c>
      <c r="L109" s="0" t="n">
        <v>14.00168</v>
      </c>
      <c r="M109" s="0" t="n">
        <v>16.10836</v>
      </c>
      <c r="N109" s="0" t="n">
        <v>14.61097</v>
      </c>
      <c r="O109" s="0" t="n">
        <v>15.41115</v>
      </c>
      <c r="P109" s="0" t="n">
        <v>15.70666</v>
      </c>
      <c r="Q109" s="0" t="n">
        <v>15.75165</v>
      </c>
      <c r="R109" s="0" t="n">
        <v>15.85842</v>
      </c>
      <c r="S109" s="0" t="n">
        <v>15.64208</v>
      </c>
      <c r="T109" s="0" t="n">
        <v>16.15756</v>
      </c>
      <c r="U109" s="0" t="n">
        <v>15.70744</v>
      </c>
      <c r="V109" s="0" t="n">
        <v>15.7028</v>
      </c>
      <c r="W109" s="0" t="n">
        <v>16.02739</v>
      </c>
      <c r="X109" s="0" t="n">
        <v>15.87135</v>
      </c>
      <c r="Y109" s="0" t="n">
        <v>16.3633</v>
      </c>
      <c r="Z109" s="0" t="n">
        <v>16.38494</v>
      </c>
      <c r="AA109" s="0" t="n">
        <v>16.51533</v>
      </c>
      <c r="AF109" s="0" t="n">
        <v>3</v>
      </c>
      <c r="AG109" s="0" t="n">
        <v>3</v>
      </c>
      <c r="AH109" s="0" t="n">
        <v>3</v>
      </c>
      <c r="AI109" s="0" t="n">
        <v>8.9</v>
      </c>
      <c r="AJ109" s="0" t="n">
        <v>8.9</v>
      </c>
      <c r="AK109" s="0" t="n">
        <v>8.9</v>
      </c>
      <c r="AL109" s="0" t="n">
        <v>60.673</v>
      </c>
      <c r="AM109" s="0" t="n">
        <v>0</v>
      </c>
      <c r="AN109" s="0" t="n">
        <v>14.102</v>
      </c>
      <c r="AO109" s="0" t="n">
        <v>2180100</v>
      </c>
      <c r="AP109" s="0" t="n">
        <v>12</v>
      </c>
      <c r="AQ109" s="0" t="n">
        <v>0.603232370798384</v>
      </c>
      <c r="AR109" s="0" t="n">
        <v>0.893013333333333</v>
      </c>
      <c r="AS109" s="0" t="s">
        <v>513</v>
      </c>
      <c r="AT109" s="0" t="s">
        <v>513</v>
      </c>
      <c r="AU109" s="0" t="s">
        <v>514</v>
      </c>
      <c r="AV109" s="0" t="s">
        <v>515</v>
      </c>
      <c r="AW109" s="0" t="s">
        <v>65</v>
      </c>
      <c r="AZ109" s="0" t="n">
        <v>207</v>
      </c>
    </row>
    <row r="110" customFormat="false" ht="15" hidden="false" customHeight="false" outlineLevel="0" collapsed="false">
      <c r="A110" s="0" t="n">
        <v>16.47041</v>
      </c>
      <c r="B110" s="0" t="n">
        <v>18.26109</v>
      </c>
      <c r="C110" s="0" t="n">
        <v>19.69787</v>
      </c>
      <c r="D110" s="0" t="n">
        <v>18.0626</v>
      </c>
      <c r="E110" s="0" t="n">
        <v>17.51507</v>
      </c>
      <c r="F110" s="0" t="n">
        <v>19.6221</v>
      </c>
      <c r="G110" s="0" t="n">
        <v>18.3708</v>
      </c>
      <c r="H110" s="0" t="n">
        <v>19.36359</v>
      </c>
      <c r="I110" s="0" t="n">
        <v>18.44924</v>
      </c>
      <c r="J110" s="0" t="n">
        <v>17.7194</v>
      </c>
      <c r="K110" s="0" t="n">
        <v>16.5747</v>
      </c>
      <c r="L110" s="0" t="n">
        <v>18.188</v>
      </c>
      <c r="M110" s="0" t="n">
        <v>16.25045</v>
      </c>
      <c r="N110" s="0" t="n">
        <v>18.8025</v>
      </c>
      <c r="O110" s="0" t="n">
        <v>17.788</v>
      </c>
      <c r="P110" s="0" t="n">
        <v>19.53602</v>
      </c>
      <c r="Q110" s="0" t="n">
        <v>20.63485</v>
      </c>
      <c r="R110" s="0" t="n">
        <v>19.815</v>
      </c>
      <c r="S110" s="0" t="n">
        <v>17.4193</v>
      </c>
      <c r="T110" s="0" t="n">
        <v>19.15135</v>
      </c>
      <c r="U110" s="0" t="n">
        <v>18.2453</v>
      </c>
      <c r="V110" s="0" t="n">
        <v>19.16475</v>
      </c>
      <c r="W110" s="0" t="n">
        <v>18.61317</v>
      </c>
      <c r="X110" s="0" t="n">
        <v>18.39067</v>
      </c>
      <c r="Y110" s="0" t="n">
        <v>18.99015</v>
      </c>
      <c r="Z110" s="0" t="n">
        <v>19.3613</v>
      </c>
      <c r="AA110" s="0" t="n">
        <v>18.79084</v>
      </c>
      <c r="AF110" s="0" t="n">
        <v>10</v>
      </c>
      <c r="AG110" s="0" t="n">
        <v>10</v>
      </c>
      <c r="AH110" s="0" t="n">
        <v>10</v>
      </c>
      <c r="AI110" s="0" t="n">
        <v>29.7</v>
      </c>
      <c r="AJ110" s="0" t="n">
        <v>29.7</v>
      </c>
      <c r="AK110" s="0" t="n">
        <v>29.7</v>
      </c>
      <c r="AL110" s="0" t="n">
        <v>62.216</v>
      </c>
      <c r="AM110" s="0" t="n">
        <v>0</v>
      </c>
      <c r="AN110" s="0" t="n">
        <v>323.31</v>
      </c>
      <c r="AO110" s="0" t="n">
        <v>16036000</v>
      </c>
      <c r="AP110" s="0" t="n">
        <v>60</v>
      </c>
      <c r="AQ110" s="0" t="n">
        <v>0.704490756118127</v>
      </c>
      <c r="AR110" s="0" t="n">
        <v>0.922571428571429</v>
      </c>
      <c r="AS110" s="0" t="s">
        <v>516</v>
      </c>
      <c r="AT110" s="0" t="s">
        <v>517</v>
      </c>
      <c r="AU110" s="0" t="s">
        <v>518</v>
      </c>
      <c r="AV110" s="0" t="s">
        <v>519</v>
      </c>
      <c r="AW110" s="0" t="s">
        <v>145</v>
      </c>
      <c r="AZ110" s="0" t="n">
        <v>212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09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B112" activeCellId="0" sqref="B112"/>
    </sheetView>
  </sheetViews>
  <sheetFormatPr defaultRowHeight="15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21.85"/>
    <col collapsed="false" customWidth="true" hidden="false" outlineLevel="0" max="3" min="3" style="0" width="53"/>
    <col collapsed="false" customWidth="true" hidden="false" outlineLevel="0" max="4" min="4" style="0" width="14.14"/>
    <col collapsed="false" customWidth="true" hidden="false" outlineLevel="0" max="5" min="5" style="0" width="13.85"/>
    <col collapsed="false" customWidth="true" hidden="false" outlineLevel="0" max="6" min="6" style="0" width="12.43"/>
    <col collapsed="false" customWidth="true" hidden="false" outlineLevel="0" max="7" min="7" style="0" width="12.28"/>
    <col collapsed="false" customWidth="true" hidden="false" outlineLevel="0" max="8" min="8" style="0" width="13.71"/>
    <col collapsed="false" customWidth="true" hidden="false" outlineLevel="0" max="9" min="9" style="0" width="14.28"/>
    <col collapsed="false" customWidth="true" hidden="false" outlineLevel="0" max="10" min="10" style="0" width="14.14"/>
    <col collapsed="false" customWidth="true" hidden="false" outlineLevel="0" max="11" min="11" style="0" width="14.28"/>
    <col collapsed="false" customWidth="true" hidden="false" outlineLevel="0" max="12" min="12" style="0" width="14"/>
    <col collapsed="false" customWidth="true" hidden="false" outlineLevel="0" max="13" min="13" style="0" width="13.14"/>
    <col collapsed="false" customWidth="true" hidden="false" outlineLevel="0" max="14" min="14" style="0" width="13.28"/>
    <col collapsed="false" customWidth="true" hidden="false" outlineLevel="0" max="15" min="15" style="0" width="13.57"/>
    <col collapsed="false" customWidth="true" hidden="false" outlineLevel="0" max="16" min="16" style="0" width="14"/>
    <col collapsed="false" customWidth="true" hidden="false" outlineLevel="0" max="17" min="17" style="0" width="13.57"/>
    <col collapsed="false" customWidth="true" hidden="false" outlineLevel="0" max="18" min="18" style="0" width="14.14"/>
    <col collapsed="false" customWidth="true" hidden="false" outlineLevel="0" max="19" min="19" style="0" width="14"/>
    <col collapsed="false" customWidth="true" hidden="false" outlineLevel="0" max="20" min="20" style="0" width="14.28"/>
    <col collapsed="false" customWidth="true" hidden="false" outlineLevel="0" max="21" min="21" style="0" width="12.57"/>
    <col collapsed="false" customWidth="true" hidden="false" outlineLevel="0" max="22" min="22" style="0" width="14.28"/>
    <col collapsed="false" customWidth="true" hidden="false" outlineLevel="0" max="23" min="23" style="0" width="12.71"/>
    <col collapsed="false" customWidth="true" hidden="false" outlineLevel="0" max="24" min="24" style="0" width="13.57"/>
    <col collapsed="false" customWidth="true" hidden="false" outlineLevel="0" max="25" min="25" style="0" width="14.28"/>
    <col collapsed="false" customWidth="true" hidden="false" outlineLevel="0" max="26" min="26" style="0" width="13.57"/>
    <col collapsed="false" customWidth="true" hidden="false" outlineLevel="0" max="29" min="27" style="0" width="14.28"/>
    <col collapsed="false" customWidth="true" hidden="false" outlineLevel="0" max="30" min="30" style="0" width="12.43"/>
    <col collapsed="false" customWidth="true" hidden="false" outlineLevel="0" max="31" min="31" style="0" width="8.85"/>
    <col collapsed="false" customWidth="true" hidden="false" outlineLevel="0" max="32" min="32" style="0" width="12.71"/>
    <col collapsed="false" customWidth="true" hidden="false" outlineLevel="0" max="33" min="33" style="0" width="9.57"/>
    <col collapsed="false" customWidth="true" hidden="false" outlineLevel="0" max="34" min="34" style="0" width="14.57"/>
    <col collapsed="false" customWidth="true" hidden="false" outlineLevel="0" max="35" min="35" style="0" width="19.14"/>
    <col collapsed="false" customWidth="true" hidden="false" outlineLevel="0" max="36" min="36" style="0" width="17.85"/>
    <col collapsed="false" customWidth="true" hidden="false" outlineLevel="0" max="37" min="37" style="0" width="9.71"/>
    <col collapsed="false" customWidth="true" hidden="false" outlineLevel="0" max="38" min="38" style="0" width="9"/>
    <col collapsed="false" customWidth="true" hidden="false" outlineLevel="0" max="39" min="39" style="0" width="7"/>
    <col collapsed="false" customWidth="true" hidden="false" outlineLevel="0" max="40" min="40" style="0" width="11"/>
    <col collapsed="false" customWidth="true" hidden="false" outlineLevel="0" max="41" min="41" style="0" width="8"/>
    <col collapsed="false" customWidth="true" hidden="false" outlineLevel="0" max="42" min="42" style="0" width="41.14"/>
    <col collapsed="false" customWidth="true" hidden="false" outlineLevel="0" max="43" min="43" style="0" width="34.57"/>
    <col collapsed="false" customWidth="true" hidden="false" outlineLevel="0" max="44" min="44" style="0" width="70.14"/>
    <col collapsed="false" customWidth="true" hidden="false" outlineLevel="0" max="45" min="45" style="0" width="30.42"/>
    <col collapsed="false" customWidth="true" hidden="false" outlineLevel="0" max="46" min="46" style="0" width="47"/>
    <col collapsed="false" customWidth="true" hidden="false" outlineLevel="0" max="47" min="47" style="0" width="4"/>
    <col collapsed="false" customWidth="true" hidden="false" outlineLevel="0" max="1025" min="48" style="0" width="8.53"/>
  </cols>
  <sheetData>
    <row r="1" s="1" customFormat="true" ht="44.25" hidden="false" customHeight="true" outlineLevel="0" collapsed="false">
      <c r="A1" s="1" t="s">
        <v>47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44</v>
      </c>
      <c r="AQ1" s="1" t="s">
        <v>45</v>
      </c>
      <c r="AR1" s="1" t="s">
        <v>48</v>
      </c>
      <c r="AS1" s="1" t="s">
        <v>49</v>
      </c>
      <c r="AT1" s="1" t="s">
        <v>50</v>
      </c>
      <c r="AU1" s="1" t="s">
        <v>51</v>
      </c>
    </row>
    <row r="2" s="2" customFormat="true" ht="15" hidden="false" customHeight="false" outlineLevel="0" collapsed="false">
      <c r="D2" s="2" t="s">
        <v>58</v>
      </c>
      <c r="E2" s="2" t="s">
        <v>58</v>
      </c>
      <c r="F2" s="2" t="s">
        <v>58</v>
      </c>
      <c r="G2" s="2" t="s">
        <v>58</v>
      </c>
      <c r="H2" s="2" t="s">
        <v>58</v>
      </c>
      <c r="I2" s="2" t="s">
        <v>58</v>
      </c>
      <c r="J2" s="2" t="s">
        <v>58</v>
      </c>
      <c r="K2" s="2" t="s">
        <v>59</v>
      </c>
      <c r="L2" s="2" t="s">
        <v>59</v>
      </c>
      <c r="M2" s="2" t="s">
        <v>59</v>
      </c>
      <c r="N2" s="2" t="s">
        <v>59</v>
      </c>
      <c r="O2" s="2" t="s">
        <v>59</v>
      </c>
      <c r="P2" s="2" t="s">
        <v>59</v>
      </c>
      <c r="Q2" s="2" t="s">
        <v>59</v>
      </c>
      <c r="R2" s="2" t="s">
        <v>59</v>
      </c>
      <c r="S2" s="2" t="s">
        <v>59</v>
      </c>
      <c r="T2" s="2" t="s">
        <v>59</v>
      </c>
      <c r="U2" s="2" t="s">
        <v>59</v>
      </c>
      <c r="V2" s="2" t="s">
        <v>59</v>
      </c>
      <c r="W2" s="2" t="s">
        <v>59</v>
      </c>
      <c r="X2" s="2" t="s">
        <v>60</v>
      </c>
      <c r="Y2" s="2" t="s">
        <v>60</v>
      </c>
      <c r="Z2" s="2" t="s">
        <v>60</v>
      </c>
      <c r="AA2" s="2" t="s">
        <v>60</v>
      </c>
      <c r="AB2" s="2" t="s">
        <v>60</v>
      </c>
      <c r="AC2" s="2" t="s">
        <v>60</v>
      </c>
      <c r="AD2" s="2" t="s">
        <v>60</v>
      </c>
    </row>
    <row r="3" customFormat="false" ht="15" hidden="false" customHeight="false" outlineLevel="0" collapsed="false">
      <c r="A3" s="0" t="s">
        <v>64</v>
      </c>
      <c r="B3" s="0" t="s">
        <v>62</v>
      </c>
      <c r="C3" s="0" t="s">
        <v>63</v>
      </c>
      <c r="D3" s="0" t="n">
        <v>15.87918</v>
      </c>
      <c r="E3" s="0" t="n">
        <v>15.4086</v>
      </c>
      <c r="F3" s="0" t="n">
        <v>16.27893</v>
      </c>
      <c r="G3" s="0" t="n">
        <v>15.45346</v>
      </c>
      <c r="H3" s="0" t="n">
        <v>15.85138</v>
      </c>
      <c r="I3" s="0" t="n">
        <v>15.83197</v>
      </c>
      <c r="J3" s="0" t="n">
        <v>15.24526</v>
      </c>
      <c r="K3" s="0" t="n">
        <v>16.54622</v>
      </c>
      <c r="L3" s="0" t="n">
        <v>15.59794</v>
      </c>
      <c r="M3" s="0" t="n">
        <v>13.12144</v>
      </c>
      <c r="N3" s="0" t="n">
        <v>17.88687</v>
      </c>
      <c r="O3" s="0" t="n">
        <v>14.31111</v>
      </c>
      <c r="P3" s="0" t="n">
        <v>16.49953</v>
      </c>
      <c r="Q3" s="0" t="n">
        <v>16.02763</v>
      </c>
      <c r="R3" s="0" t="n">
        <v>14.4586</v>
      </c>
      <c r="S3" s="0" t="n">
        <v>15.88283</v>
      </c>
      <c r="T3" s="0" t="n">
        <v>16.35234</v>
      </c>
      <c r="U3" s="0" t="n">
        <v>16.59693</v>
      </c>
      <c r="V3" s="0" t="n">
        <v>15.99327</v>
      </c>
      <c r="W3" s="0" t="n">
        <v>15.82848</v>
      </c>
      <c r="X3" s="0" t="n">
        <v>17.33995</v>
      </c>
      <c r="Y3" s="0" t="n">
        <v>16.45958</v>
      </c>
      <c r="Z3" s="0" t="n">
        <v>15.57439</v>
      </c>
      <c r="AA3" s="0" t="n">
        <v>15.49217</v>
      </c>
      <c r="AB3" s="0" t="n">
        <v>16.91064</v>
      </c>
      <c r="AC3" s="0" t="n">
        <v>15.31409</v>
      </c>
      <c r="AD3" s="0" t="n">
        <v>16.78251</v>
      </c>
      <c r="AE3" s="0" t="n">
        <v>3</v>
      </c>
      <c r="AF3" s="0" t="n">
        <v>3</v>
      </c>
      <c r="AG3" s="0" t="n">
        <v>3</v>
      </c>
      <c r="AH3" s="0" t="n">
        <v>7.3</v>
      </c>
      <c r="AI3" s="0" t="n">
        <v>7.3</v>
      </c>
      <c r="AJ3" s="0" t="n">
        <v>7.3</v>
      </c>
      <c r="AK3" s="0" t="n">
        <v>75.077</v>
      </c>
      <c r="AL3" s="0" t="n">
        <v>0</v>
      </c>
      <c r="AM3" s="0" t="n">
        <v>6.6453</v>
      </c>
      <c r="AN3" s="0" t="n">
        <v>2431500</v>
      </c>
      <c r="AO3" s="0" t="n">
        <v>14</v>
      </c>
      <c r="AP3" s="0" t="s">
        <v>61</v>
      </c>
      <c r="AQ3" s="0" t="s">
        <v>62</v>
      </c>
      <c r="AR3" s="0" t="s">
        <v>65</v>
      </c>
      <c r="AU3" s="0" t="n">
        <v>6</v>
      </c>
    </row>
    <row r="4" customFormat="false" ht="15" hidden="false" customHeight="false" outlineLevel="0" collapsed="false">
      <c r="A4" s="0" t="s">
        <v>68</v>
      </c>
      <c r="B4" s="0" t="s">
        <v>66</v>
      </c>
      <c r="C4" s="0" t="s">
        <v>67</v>
      </c>
      <c r="D4" s="0" t="n">
        <v>22.60987</v>
      </c>
      <c r="E4" s="0" t="n">
        <v>19.68212</v>
      </c>
      <c r="F4" s="0" t="n">
        <v>22.04283</v>
      </c>
      <c r="G4" s="0" t="n">
        <v>20.24342</v>
      </c>
      <c r="H4" s="0" t="n">
        <v>19.26611</v>
      </c>
      <c r="I4" s="0" t="n">
        <v>20.97463</v>
      </c>
      <c r="J4" s="0" t="n">
        <v>22.02608</v>
      </c>
      <c r="K4" s="0" t="n">
        <v>21.01161</v>
      </c>
      <c r="L4" s="0" t="n">
        <v>20.72949</v>
      </c>
      <c r="M4" s="0" t="n">
        <v>21.95358</v>
      </c>
      <c r="N4" s="0" t="n">
        <v>22.06835</v>
      </c>
      <c r="O4" s="0" t="n">
        <v>22.63533</v>
      </c>
      <c r="P4" s="0" t="n">
        <v>20.03658</v>
      </c>
      <c r="Q4" s="0" t="n">
        <v>20.23806</v>
      </c>
      <c r="R4" s="0" t="n">
        <v>22.39338</v>
      </c>
      <c r="S4" s="0" t="n">
        <v>21.37523</v>
      </c>
      <c r="T4" s="0" t="n">
        <v>20.78556</v>
      </c>
      <c r="U4" s="0" t="n">
        <v>19.66939</v>
      </c>
      <c r="V4" s="0" t="n">
        <v>20.54123</v>
      </c>
      <c r="W4" s="0" t="n">
        <v>20.61711</v>
      </c>
      <c r="X4" s="0" t="n">
        <v>20.76093</v>
      </c>
      <c r="Y4" s="0" t="n">
        <v>22.65611</v>
      </c>
      <c r="Z4" s="0" t="n">
        <v>19.59396</v>
      </c>
      <c r="AA4" s="0" t="n">
        <v>19.9851</v>
      </c>
      <c r="AB4" s="0" t="n">
        <v>21.16987</v>
      </c>
      <c r="AC4" s="0" t="n">
        <v>20.99079</v>
      </c>
      <c r="AD4" s="0" t="n">
        <v>20.2876</v>
      </c>
      <c r="AE4" s="0" t="n">
        <v>18</v>
      </c>
      <c r="AF4" s="0" t="n">
        <v>18</v>
      </c>
      <c r="AG4" s="0" t="n">
        <v>18</v>
      </c>
      <c r="AH4" s="0" t="n">
        <v>50.2</v>
      </c>
      <c r="AI4" s="0" t="n">
        <v>50.2</v>
      </c>
      <c r="AJ4" s="0" t="n">
        <v>50.2</v>
      </c>
      <c r="AK4" s="0" t="n">
        <v>49.382</v>
      </c>
      <c r="AL4" s="0" t="n">
        <v>0</v>
      </c>
      <c r="AM4" s="0" t="n">
        <v>323.31</v>
      </c>
      <c r="AN4" s="0" t="n">
        <v>120760000</v>
      </c>
      <c r="AO4" s="0" t="n">
        <v>259</v>
      </c>
      <c r="AP4" s="0" t="s">
        <v>66</v>
      </c>
      <c r="AQ4" s="0" t="s">
        <v>66</v>
      </c>
      <c r="AR4" s="0" t="s">
        <v>69</v>
      </c>
      <c r="AS4" s="0" t="s">
        <v>70</v>
      </c>
      <c r="AT4" s="0" t="s">
        <v>71</v>
      </c>
      <c r="AU4" s="0" t="n">
        <v>8</v>
      </c>
    </row>
    <row r="5" customFormat="false" ht="15" hidden="false" customHeight="false" outlineLevel="0" collapsed="false">
      <c r="A5" s="0" t="s">
        <v>74</v>
      </c>
      <c r="B5" s="0" t="s">
        <v>72</v>
      </c>
      <c r="C5" s="0" t="s">
        <v>73</v>
      </c>
      <c r="D5" s="0" t="n">
        <v>15.77471</v>
      </c>
      <c r="E5" s="0" t="n">
        <v>14.68699</v>
      </c>
      <c r="F5" s="0" t="n">
        <v>15.43785</v>
      </c>
      <c r="G5" s="0" t="n">
        <v>14.89562</v>
      </c>
      <c r="H5" s="0" t="n">
        <v>15.32892</v>
      </c>
      <c r="I5" s="0" t="n">
        <v>15.54104</v>
      </c>
      <c r="J5" s="0" t="n">
        <v>15.24659</v>
      </c>
      <c r="K5" s="0" t="n">
        <v>15.5487</v>
      </c>
      <c r="L5" s="0" t="n">
        <v>16.31916</v>
      </c>
      <c r="M5" s="0" t="n">
        <v>15.79454</v>
      </c>
      <c r="N5" s="0" t="n">
        <v>17.39801</v>
      </c>
      <c r="O5" s="0" t="n">
        <v>15.08771</v>
      </c>
      <c r="P5" s="0" t="n">
        <v>14.73524</v>
      </c>
      <c r="Q5" s="0" t="n">
        <v>17.84733</v>
      </c>
      <c r="R5" s="0" t="n">
        <v>15.50696</v>
      </c>
      <c r="S5" s="0" t="n">
        <v>15.46001</v>
      </c>
      <c r="T5" s="0" t="n">
        <v>15.38435</v>
      </c>
      <c r="U5" s="0" t="n">
        <v>15.73349</v>
      </c>
      <c r="V5" s="0" t="n">
        <v>15.60073</v>
      </c>
      <c r="W5" s="0" t="n">
        <v>15.82215</v>
      </c>
      <c r="X5" s="0" t="n">
        <v>15.03381</v>
      </c>
      <c r="Y5" s="0" t="n">
        <v>15.58317</v>
      </c>
      <c r="Z5" s="0" t="n">
        <v>15.3093</v>
      </c>
      <c r="AA5" s="0" t="n">
        <v>14.44657</v>
      </c>
      <c r="AB5" s="0" t="n">
        <v>13.99418</v>
      </c>
      <c r="AC5" s="0" t="n">
        <v>15.28435</v>
      </c>
      <c r="AD5" s="0" t="n">
        <v>14.44443</v>
      </c>
      <c r="AE5" s="0" t="n">
        <v>3</v>
      </c>
      <c r="AF5" s="0" t="n">
        <v>3</v>
      </c>
      <c r="AG5" s="0" t="n">
        <v>3</v>
      </c>
      <c r="AH5" s="0" t="n">
        <v>12.9</v>
      </c>
      <c r="AI5" s="0" t="n">
        <v>12.9</v>
      </c>
      <c r="AJ5" s="0" t="n">
        <v>12.9</v>
      </c>
      <c r="AK5" s="0" t="n">
        <v>25.402</v>
      </c>
      <c r="AL5" s="0" t="n">
        <v>0</v>
      </c>
      <c r="AM5" s="0" t="n">
        <v>4.467</v>
      </c>
      <c r="AN5" s="0" t="n">
        <v>1616500</v>
      </c>
      <c r="AO5" s="0" t="n">
        <v>16</v>
      </c>
      <c r="AP5" s="0" t="s">
        <v>72</v>
      </c>
      <c r="AQ5" s="0" t="s">
        <v>72</v>
      </c>
      <c r="AR5" s="0" t="s">
        <v>65</v>
      </c>
      <c r="AU5" s="0" t="n">
        <v>9</v>
      </c>
    </row>
    <row r="6" customFormat="false" ht="15" hidden="false" customHeight="false" outlineLevel="0" collapsed="false">
      <c r="A6" s="0" t="s">
        <v>77</v>
      </c>
      <c r="B6" s="0" t="s">
        <v>75</v>
      </c>
      <c r="C6" s="0" t="s">
        <v>76</v>
      </c>
      <c r="D6" s="0" t="n">
        <v>15.5548</v>
      </c>
      <c r="E6" s="0" t="n">
        <v>15.12602</v>
      </c>
      <c r="F6" s="0" t="n">
        <v>16.27262</v>
      </c>
      <c r="G6" s="0" t="n">
        <v>16.4766</v>
      </c>
      <c r="H6" s="0" t="n">
        <v>16.21443</v>
      </c>
      <c r="I6" s="0" t="n">
        <v>16.25158</v>
      </c>
      <c r="J6" s="0" t="n">
        <v>16.17707</v>
      </c>
      <c r="K6" s="0" t="n">
        <v>17.11319</v>
      </c>
      <c r="L6" s="0" t="n">
        <v>16.12671</v>
      </c>
      <c r="M6" s="0" t="n">
        <v>15.10636</v>
      </c>
      <c r="N6" s="0" t="n">
        <v>16.34158</v>
      </c>
      <c r="O6" s="0" t="n">
        <v>16.94215</v>
      </c>
      <c r="P6" s="0" t="n">
        <v>16.73978</v>
      </c>
      <c r="Q6" s="0" t="n">
        <v>14.11287</v>
      </c>
      <c r="R6" s="0" t="n">
        <v>17.89196</v>
      </c>
      <c r="S6" s="0" t="n">
        <v>17.37356</v>
      </c>
      <c r="T6" s="0" t="n">
        <v>16.86568</v>
      </c>
      <c r="U6" s="0" t="n">
        <v>16.61554</v>
      </c>
      <c r="V6" s="0" t="n">
        <v>15.90134</v>
      </c>
      <c r="W6" s="0" t="n">
        <v>16.18152</v>
      </c>
      <c r="X6" s="0" t="n">
        <v>17.09455</v>
      </c>
      <c r="Y6" s="0" t="n">
        <v>16.94478</v>
      </c>
      <c r="Z6" s="0" t="n">
        <v>17.01214</v>
      </c>
      <c r="AA6" s="0" t="n">
        <v>16.7761</v>
      </c>
      <c r="AB6" s="0" t="n">
        <v>16.54498</v>
      </c>
      <c r="AC6" s="0" t="n">
        <v>15.76464</v>
      </c>
      <c r="AD6" s="0" t="n">
        <v>17.46826</v>
      </c>
      <c r="AE6" s="0" t="n">
        <v>3</v>
      </c>
      <c r="AF6" s="0" t="n">
        <v>3</v>
      </c>
      <c r="AG6" s="0" t="n">
        <v>3</v>
      </c>
      <c r="AH6" s="0" t="n">
        <v>16.8</v>
      </c>
      <c r="AI6" s="0" t="n">
        <v>16.8</v>
      </c>
      <c r="AJ6" s="0" t="n">
        <v>16.8</v>
      </c>
      <c r="AK6" s="0" t="n">
        <v>23.353</v>
      </c>
      <c r="AL6" s="0" t="n">
        <v>0</v>
      </c>
      <c r="AM6" s="0" t="n">
        <v>103.75</v>
      </c>
      <c r="AN6" s="0" t="n">
        <v>4696900</v>
      </c>
      <c r="AO6" s="0" t="n">
        <v>15</v>
      </c>
      <c r="AP6" s="0" t="s">
        <v>75</v>
      </c>
      <c r="AQ6" s="0" t="s">
        <v>75</v>
      </c>
      <c r="AR6" s="0" t="s">
        <v>65</v>
      </c>
      <c r="AS6" s="0" t="s">
        <v>78</v>
      </c>
      <c r="AT6" s="0" t="s">
        <v>79</v>
      </c>
      <c r="AU6" s="0" t="n">
        <v>10</v>
      </c>
    </row>
    <row r="7" customFormat="false" ht="15" hidden="false" customHeight="false" outlineLevel="0" collapsed="false">
      <c r="A7" s="0" t="s">
        <v>82</v>
      </c>
      <c r="B7" s="0" t="s">
        <v>80</v>
      </c>
      <c r="C7" s="0" t="s">
        <v>81</v>
      </c>
      <c r="D7" s="0" t="n">
        <v>17.31761</v>
      </c>
      <c r="E7" s="0" t="n">
        <v>15.84736</v>
      </c>
      <c r="F7" s="0" t="n">
        <v>15.84215</v>
      </c>
      <c r="G7" s="0" t="n">
        <v>17.23248</v>
      </c>
      <c r="H7" s="0" t="n">
        <v>17.40541</v>
      </c>
      <c r="I7" s="0" t="n">
        <v>17.0525</v>
      </c>
      <c r="J7" s="0" t="n">
        <v>14.01111</v>
      </c>
      <c r="K7" s="0" t="n">
        <v>16.77069</v>
      </c>
      <c r="L7" s="0" t="n">
        <v>17.20581</v>
      </c>
      <c r="M7" s="0" t="n">
        <v>18.24307</v>
      </c>
      <c r="N7" s="0" t="n">
        <v>17.36481</v>
      </c>
      <c r="O7" s="0" t="n">
        <v>17.51198</v>
      </c>
      <c r="P7" s="0" t="n">
        <v>16.19737</v>
      </c>
      <c r="Q7" s="0" t="n">
        <v>16.02228</v>
      </c>
      <c r="R7" s="0" t="n">
        <v>17.37008</v>
      </c>
      <c r="S7" s="0" t="n">
        <v>16.48129</v>
      </c>
      <c r="T7" s="0" t="n">
        <v>15.21999</v>
      </c>
      <c r="U7" s="0" t="n">
        <v>12.82417</v>
      </c>
      <c r="V7" s="0" t="n">
        <v>13.82869</v>
      </c>
      <c r="W7" s="0" t="n">
        <v>17.32052</v>
      </c>
      <c r="X7" s="0" t="n">
        <v>16.57911</v>
      </c>
      <c r="Y7" s="0" t="n">
        <v>16.81328</v>
      </c>
      <c r="Z7" s="0" t="n">
        <v>13.9518</v>
      </c>
      <c r="AA7" s="0" t="n">
        <v>14.4807</v>
      </c>
      <c r="AB7" s="0" t="n">
        <v>16.74491</v>
      </c>
      <c r="AC7" s="0" t="n">
        <v>17.5974</v>
      </c>
      <c r="AD7" s="0" t="n">
        <v>16.54329</v>
      </c>
      <c r="AE7" s="0" t="n">
        <v>2</v>
      </c>
      <c r="AF7" s="0" t="n">
        <v>2</v>
      </c>
      <c r="AG7" s="0" t="n">
        <v>2</v>
      </c>
      <c r="AH7" s="0" t="n">
        <v>12.7</v>
      </c>
      <c r="AI7" s="0" t="n">
        <v>12.7</v>
      </c>
      <c r="AJ7" s="0" t="n">
        <v>12.7</v>
      </c>
      <c r="AK7" s="0" t="n">
        <v>24.03</v>
      </c>
      <c r="AL7" s="0" t="n">
        <v>0</v>
      </c>
      <c r="AM7" s="0" t="n">
        <v>26.63</v>
      </c>
      <c r="AN7" s="0" t="n">
        <v>4832500</v>
      </c>
      <c r="AO7" s="0" t="n">
        <v>18</v>
      </c>
      <c r="AP7" s="0" t="s">
        <v>80</v>
      </c>
      <c r="AQ7" s="0" t="s">
        <v>80</v>
      </c>
      <c r="AR7" s="0" t="s">
        <v>83</v>
      </c>
      <c r="AU7" s="0" t="n">
        <v>14</v>
      </c>
    </row>
    <row r="8" customFormat="false" ht="15" hidden="false" customHeight="false" outlineLevel="0" collapsed="false">
      <c r="A8" s="0" t="s">
        <v>86</v>
      </c>
      <c r="B8" s="0" t="s">
        <v>84</v>
      </c>
      <c r="C8" s="0" t="s">
        <v>85</v>
      </c>
      <c r="D8" s="0" t="n">
        <v>19.39253</v>
      </c>
      <c r="E8" s="0" t="n">
        <v>19.47756</v>
      </c>
      <c r="F8" s="0" t="n">
        <v>19.93905</v>
      </c>
      <c r="G8" s="0" t="n">
        <v>18.32219</v>
      </c>
      <c r="H8" s="0" t="n">
        <v>19.63738</v>
      </c>
      <c r="I8" s="0" t="n">
        <v>20.60359</v>
      </c>
      <c r="J8" s="0" t="n">
        <v>20.95971</v>
      </c>
      <c r="K8" s="0" t="n">
        <v>19.07648</v>
      </c>
      <c r="L8" s="0" t="n">
        <v>19.18473</v>
      </c>
      <c r="M8" s="0" t="n">
        <v>21.40899</v>
      </c>
      <c r="N8" s="0" t="n">
        <v>17.42318</v>
      </c>
      <c r="O8" s="0" t="n">
        <v>22.45513</v>
      </c>
      <c r="P8" s="0" t="n">
        <v>18.95109</v>
      </c>
      <c r="Q8" s="0" t="n">
        <v>20.83507</v>
      </c>
      <c r="R8" s="0" t="n">
        <v>23.04693</v>
      </c>
      <c r="S8" s="0" t="n">
        <v>20.28229</v>
      </c>
      <c r="T8" s="0" t="n">
        <v>19.67235</v>
      </c>
      <c r="U8" s="0" t="n">
        <v>19.30952</v>
      </c>
      <c r="V8" s="0" t="n">
        <v>19.21122</v>
      </c>
      <c r="W8" s="0" t="n">
        <v>20.68782</v>
      </c>
      <c r="X8" s="0" t="n">
        <v>20.08135</v>
      </c>
      <c r="Y8" s="0" t="n">
        <v>18.80707</v>
      </c>
      <c r="Z8" s="0" t="n">
        <v>18.76791</v>
      </c>
      <c r="AA8" s="0" t="n">
        <v>19.72745</v>
      </c>
      <c r="AB8" s="0" t="n">
        <v>19.00985</v>
      </c>
      <c r="AC8" s="0" t="n">
        <v>20.90124</v>
      </c>
      <c r="AD8" s="0" t="n">
        <v>19.30394</v>
      </c>
      <c r="AE8" s="0" t="n">
        <v>5</v>
      </c>
      <c r="AF8" s="0" t="n">
        <v>5</v>
      </c>
      <c r="AG8" s="0" t="n">
        <v>2</v>
      </c>
      <c r="AH8" s="0" t="n">
        <v>35.8</v>
      </c>
      <c r="AI8" s="0" t="n">
        <v>35.8</v>
      </c>
      <c r="AJ8" s="0" t="n">
        <v>12.6</v>
      </c>
      <c r="AK8" s="0" t="n">
        <v>23.15</v>
      </c>
      <c r="AL8" s="0" t="n">
        <v>0</v>
      </c>
      <c r="AM8" s="0" t="n">
        <v>33.382</v>
      </c>
      <c r="AN8" s="0" t="n">
        <v>63911000</v>
      </c>
      <c r="AO8" s="0" t="n">
        <v>51</v>
      </c>
      <c r="AP8" s="0" t="s">
        <v>84</v>
      </c>
      <c r="AQ8" s="0" t="s">
        <v>84</v>
      </c>
      <c r="AR8" s="0" t="s">
        <v>87</v>
      </c>
      <c r="AU8" s="0" t="n">
        <v>15</v>
      </c>
    </row>
    <row r="9" customFormat="false" ht="15" hidden="false" customHeight="false" outlineLevel="0" collapsed="false">
      <c r="A9" s="0" t="s">
        <v>90</v>
      </c>
      <c r="B9" s="0" t="s">
        <v>88</v>
      </c>
      <c r="C9" s="0" t="s">
        <v>89</v>
      </c>
      <c r="D9" s="0" t="n">
        <v>20.33254</v>
      </c>
      <c r="E9" s="0" t="n">
        <v>18.8343</v>
      </c>
      <c r="F9" s="0" t="n">
        <v>16.56875</v>
      </c>
      <c r="G9" s="0" t="n">
        <v>19.33551</v>
      </c>
      <c r="H9" s="0" t="n">
        <v>19.81093</v>
      </c>
      <c r="I9" s="0" t="n">
        <v>21.65574</v>
      </c>
      <c r="J9" s="0" t="n">
        <v>18.43555</v>
      </c>
      <c r="K9" s="0" t="n">
        <v>20.01291</v>
      </c>
      <c r="L9" s="0" t="n">
        <v>20.10342</v>
      </c>
      <c r="M9" s="0" t="n">
        <v>20.2841</v>
      </c>
      <c r="N9" s="0" t="n">
        <v>19.41092</v>
      </c>
      <c r="O9" s="0" t="n">
        <v>18.31208</v>
      </c>
      <c r="P9" s="0" t="n">
        <v>20.09803</v>
      </c>
      <c r="Q9" s="0" t="n">
        <v>15.54485</v>
      </c>
      <c r="R9" s="0" t="n">
        <v>17.91351</v>
      </c>
      <c r="S9" s="0" t="n">
        <v>19.76463</v>
      </c>
      <c r="T9" s="0" t="n">
        <v>20.10213</v>
      </c>
      <c r="U9" s="0" t="n">
        <v>19.93416</v>
      </c>
      <c r="V9" s="0" t="n">
        <v>19.16401</v>
      </c>
      <c r="W9" s="0" t="n">
        <v>20.05907</v>
      </c>
      <c r="X9" s="0" t="n">
        <v>19.82999</v>
      </c>
      <c r="Y9" s="0" t="n">
        <v>20.30986</v>
      </c>
      <c r="Z9" s="0" t="n">
        <v>19.01029</v>
      </c>
      <c r="AA9" s="0" t="n">
        <v>19.08809</v>
      </c>
      <c r="AB9" s="0" t="n">
        <v>19.89269</v>
      </c>
      <c r="AC9" s="0" t="n">
        <v>20.0592</v>
      </c>
      <c r="AD9" s="0" t="n">
        <v>19.08044</v>
      </c>
      <c r="AE9" s="0" t="n">
        <v>2</v>
      </c>
      <c r="AF9" s="0" t="n">
        <v>1</v>
      </c>
      <c r="AG9" s="0" t="n">
        <v>1</v>
      </c>
      <c r="AH9" s="0" t="n">
        <v>31.2</v>
      </c>
      <c r="AI9" s="0" t="n">
        <v>19.8</v>
      </c>
      <c r="AJ9" s="0" t="n">
        <v>19.8</v>
      </c>
      <c r="AK9" s="0" t="n">
        <v>10.429</v>
      </c>
      <c r="AL9" s="0" t="n">
        <v>0</v>
      </c>
      <c r="AM9" s="0" t="n">
        <v>53.888</v>
      </c>
      <c r="AN9" s="0" t="n">
        <v>31967000</v>
      </c>
      <c r="AO9" s="0" t="n">
        <v>76</v>
      </c>
      <c r="AP9" s="0" t="s">
        <v>88</v>
      </c>
      <c r="AQ9" s="0" t="s">
        <v>88</v>
      </c>
      <c r="AR9" s="0" t="s">
        <v>91</v>
      </c>
      <c r="AU9" s="0" t="n">
        <v>16</v>
      </c>
    </row>
    <row r="10" customFormat="false" ht="15" hidden="false" customHeight="false" outlineLevel="0" collapsed="false">
      <c r="A10" s="0" t="s">
        <v>93</v>
      </c>
      <c r="B10" s="0" t="s">
        <v>92</v>
      </c>
      <c r="D10" s="0" t="n">
        <v>15.51511</v>
      </c>
      <c r="E10" s="0" t="n">
        <v>14.93171</v>
      </c>
      <c r="F10" s="0" t="n">
        <v>16.71923</v>
      </c>
      <c r="G10" s="0" t="n">
        <v>14.56277</v>
      </c>
      <c r="H10" s="0" t="n">
        <v>15.16034</v>
      </c>
      <c r="I10" s="0" t="n">
        <v>13.63901</v>
      </c>
      <c r="J10" s="0" t="n">
        <v>14.82481</v>
      </c>
      <c r="K10" s="0" t="n">
        <v>14.72946</v>
      </c>
      <c r="L10" s="0" t="n">
        <v>15.09931</v>
      </c>
      <c r="M10" s="0" t="n">
        <v>14.61442</v>
      </c>
      <c r="N10" s="0" t="n">
        <v>17.53566</v>
      </c>
      <c r="O10" s="0" t="n">
        <v>14.59205</v>
      </c>
      <c r="P10" s="0" t="n">
        <v>15.33811</v>
      </c>
      <c r="Q10" s="0" t="n">
        <v>14.1145</v>
      </c>
      <c r="R10" s="0" t="n">
        <v>14.36994</v>
      </c>
      <c r="S10" s="0" t="n">
        <v>15.45478</v>
      </c>
      <c r="T10" s="0" t="n">
        <v>14.94618</v>
      </c>
      <c r="U10" s="0" t="n">
        <v>14.80937</v>
      </c>
      <c r="V10" s="0" t="n">
        <v>14.878</v>
      </c>
      <c r="W10" s="0" t="n">
        <v>14.97777</v>
      </c>
      <c r="X10" s="0" t="n">
        <v>14.90176</v>
      </c>
      <c r="Y10" s="0" t="n">
        <v>14.0985</v>
      </c>
      <c r="Z10" s="0" t="n">
        <v>15.41029</v>
      </c>
      <c r="AA10" s="0" t="n">
        <v>14.92528</v>
      </c>
      <c r="AB10" s="0" t="n">
        <v>15.01398</v>
      </c>
      <c r="AC10" s="0" t="n">
        <v>16.16383</v>
      </c>
      <c r="AD10" s="0" t="n">
        <v>14.99103</v>
      </c>
      <c r="AE10" s="0" t="n">
        <v>2</v>
      </c>
      <c r="AF10" s="0" t="n">
        <v>2</v>
      </c>
      <c r="AG10" s="0" t="n">
        <v>2</v>
      </c>
      <c r="AH10" s="0" t="n">
        <v>26.5</v>
      </c>
      <c r="AI10" s="0" t="n">
        <v>26.5</v>
      </c>
      <c r="AJ10" s="0" t="n">
        <v>26.5</v>
      </c>
      <c r="AK10" s="0" t="n">
        <v>12.674</v>
      </c>
      <c r="AL10" s="0" t="n">
        <v>0</v>
      </c>
      <c r="AM10" s="0" t="n">
        <v>1.4462</v>
      </c>
      <c r="AN10" s="0" t="n">
        <v>1083300</v>
      </c>
      <c r="AO10" s="0" t="n">
        <v>3</v>
      </c>
      <c r="AP10" s="0" t="s">
        <v>92</v>
      </c>
      <c r="AQ10" s="0" t="s">
        <v>92</v>
      </c>
      <c r="AR10" s="0" t="s">
        <v>83</v>
      </c>
      <c r="AU10" s="0" t="n">
        <v>25</v>
      </c>
    </row>
    <row r="11" customFormat="false" ht="15" hidden="false" customHeight="false" outlineLevel="0" collapsed="false">
      <c r="A11" s="0" t="s">
        <v>96</v>
      </c>
      <c r="B11" s="0" t="s">
        <v>94</v>
      </c>
      <c r="C11" s="0" t="s">
        <v>95</v>
      </c>
      <c r="D11" s="0" t="n">
        <v>16.61065</v>
      </c>
      <c r="E11" s="0" t="n">
        <v>14.98363</v>
      </c>
      <c r="F11" s="0" t="n">
        <v>15.13983</v>
      </c>
      <c r="G11" s="0" t="n">
        <v>15.87714</v>
      </c>
      <c r="H11" s="0" t="n">
        <v>16.34795</v>
      </c>
      <c r="I11" s="0" t="n">
        <v>18.04426</v>
      </c>
      <c r="J11" s="0" t="n">
        <v>15.84539</v>
      </c>
      <c r="K11" s="0" t="n">
        <v>14.24393</v>
      </c>
      <c r="L11" s="0" t="n">
        <v>15.52117</v>
      </c>
      <c r="M11" s="0" t="n">
        <v>17.70563</v>
      </c>
      <c r="N11" s="0" t="n">
        <v>17.93093</v>
      </c>
      <c r="O11" s="0" t="n">
        <v>13.40359</v>
      </c>
      <c r="P11" s="0" t="n">
        <v>12.58904</v>
      </c>
      <c r="Q11" s="0" t="n">
        <v>14.04388</v>
      </c>
      <c r="R11" s="0" t="n">
        <v>12.90914</v>
      </c>
      <c r="S11" s="0" t="n">
        <v>17.07243</v>
      </c>
      <c r="T11" s="0" t="n">
        <v>16.01094</v>
      </c>
      <c r="U11" s="0" t="n">
        <v>13.60968</v>
      </c>
      <c r="V11" s="0" t="n">
        <v>15.42859</v>
      </c>
      <c r="W11" s="0" t="n">
        <v>17.55577</v>
      </c>
      <c r="X11" s="0" t="n">
        <v>15.10579</v>
      </c>
      <c r="Y11" s="0" t="n">
        <v>13.73862</v>
      </c>
      <c r="Z11" s="0" t="n">
        <v>12.57185</v>
      </c>
      <c r="AA11" s="0" t="n">
        <v>16.74439</v>
      </c>
      <c r="AB11" s="0" t="n">
        <v>16.60876</v>
      </c>
      <c r="AC11" s="0" t="n">
        <v>17.26673</v>
      </c>
      <c r="AD11" s="0" t="n">
        <v>17.10575</v>
      </c>
      <c r="AE11" s="0" t="n">
        <v>2</v>
      </c>
      <c r="AF11" s="0" t="n">
        <v>2</v>
      </c>
      <c r="AG11" s="0" t="n">
        <v>2</v>
      </c>
      <c r="AH11" s="0" t="n">
        <v>21.4</v>
      </c>
      <c r="AI11" s="0" t="n">
        <v>21.4</v>
      </c>
      <c r="AJ11" s="0" t="n">
        <v>21.4</v>
      </c>
      <c r="AK11" s="0" t="n">
        <v>13.016</v>
      </c>
      <c r="AL11" s="0" t="n">
        <v>0.010582</v>
      </c>
      <c r="AM11" s="0" t="n">
        <v>1.147</v>
      </c>
      <c r="AN11" s="0" t="n">
        <v>2703900</v>
      </c>
      <c r="AO11" s="0" t="n">
        <v>15</v>
      </c>
      <c r="AP11" s="0" t="s">
        <v>94</v>
      </c>
      <c r="AQ11" s="0" t="s">
        <v>94</v>
      </c>
      <c r="AR11" s="0" t="s">
        <v>83</v>
      </c>
      <c r="AU11" s="0" t="n">
        <v>26</v>
      </c>
    </row>
    <row r="12" customFormat="false" ht="15" hidden="false" customHeight="false" outlineLevel="0" collapsed="false">
      <c r="B12" s="0" t="s">
        <v>97</v>
      </c>
      <c r="D12" s="0" t="n">
        <v>18.66032</v>
      </c>
      <c r="E12" s="0" t="n">
        <v>17.82656</v>
      </c>
      <c r="F12" s="0" t="n">
        <v>19.42197</v>
      </c>
      <c r="G12" s="0" t="n">
        <v>19.27617</v>
      </c>
      <c r="H12" s="0" t="n">
        <v>20.62587</v>
      </c>
      <c r="I12" s="0" t="n">
        <v>18.1519</v>
      </c>
      <c r="J12" s="0" t="n">
        <v>19.53922</v>
      </c>
      <c r="K12" s="0" t="n">
        <v>19.53625</v>
      </c>
      <c r="L12" s="0" t="n">
        <v>17.47967</v>
      </c>
      <c r="M12" s="0" t="n">
        <v>20.21395</v>
      </c>
      <c r="N12" s="0" t="n">
        <v>16.55058</v>
      </c>
      <c r="O12" s="0" t="n">
        <v>18.65218</v>
      </c>
      <c r="P12" s="0" t="n">
        <v>20.26155</v>
      </c>
      <c r="Q12" s="0" t="n">
        <v>20.62444</v>
      </c>
      <c r="R12" s="0" t="n">
        <v>20.82065</v>
      </c>
      <c r="S12" s="0" t="n">
        <v>19.78689</v>
      </c>
      <c r="T12" s="0" t="n">
        <v>20.94664</v>
      </c>
      <c r="U12" s="0" t="n">
        <v>19.06397</v>
      </c>
      <c r="V12" s="0" t="n">
        <v>18.34178</v>
      </c>
      <c r="W12" s="0" t="n">
        <v>21.02147</v>
      </c>
      <c r="X12" s="0" t="n">
        <v>19.67342</v>
      </c>
      <c r="Y12" s="0" t="n">
        <v>20.95992</v>
      </c>
      <c r="Z12" s="0" t="n">
        <v>18.77748</v>
      </c>
      <c r="AA12" s="0" t="n">
        <v>20.11807</v>
      </c>
      <c r="AB12" s="0" t="n">
        <v>19.78933</v>
      </c>
      <c r="AC12" s="0" t="n">
        <v>20.39393</v>
      </c>
      <c r="AD12" s="0" t="n">
        <v>19.48251</v>
      </c>
      <c r="AE12" s="0" t="n">
        <v>14</v>
      </c>
      <c r="AF12" s="0" t="n">
        <v>4</v>
      </c>
      <c r="AG12" s="0" t="n">
        <v>1</v>
      </c>
      <c r="AH12" s="0" t="n">
        <v>67.6</v>
      </c>
      <c r="AI12" s="0" t="n">
        <v>30.9</v>
      </c>
      <c r="AJ12" s="0" t="n">
        <v>7.4</v>
      </c>
      <c r="AK12" s="0" t="n">
        <v>36.508</v>
      </c>
      <c r="AL12" s="0" t="n">
        <v>0</v>
      </c>
      <c r="AM12" s="0" t="n">
        <v>97.297</v>
      </c>
      <c r="AN12" s="0" t="n">
        <v>39769000</v>
      </c>
      <c r="AO12" s="0" t="n">
        <v>128</v>
      </c>
      <c r="AP12" s="0" t="s">
        <v>97</v>
      </c>
      <c r="AQ12" s="0" t="s">
        <v>97</v>
      </c>
      <c r="AR12" s="0" t="s">
        <v>98</v>
      </c>
      <c r="AS12" s="0" t="n">
        <v>11</v>
      </c>
      <c r="AT12" s="0" t="n">
        <v>301</v>
      </c>
      <c r="AU12" s="0" t="n">
        <v>29</v>
      </c>
    </row>
    <row r="13" customFormat="false" ht="15" hidden="false" customHeight="false" outlineLevel="0" collapsed="false">
      <c r="B13" s="0" t="s">
        <v>99</v>
      </c>
      <c r="D13" s="0" t="n">
        <v>17.30742</v>
      </c>
      <c r="E13" s="0" t="n">
        <v>18.10952</v>
      </c>
      <c r="F13" s="0" t="n">
        <v>16.67278</v>
      </c>
      <c r="G13" s="0" t="n">
        <v>16.83022</v>
      </c>
      <c r="H13" s="0" t="n">
        <v>18.73085</v>
      </c>
      <c r="I13" s="0" t="n">
        <v>17.72421</v>
      </c>
      <c r="J13" s="0" t="n">
        <v>16.63793</v>
      </c>
      <c r="K13" s="0" t="n">
        <v>18.33259</v>
      </c>
      <c r="L13" s="0" t="n">
        <v>17.66477</v>
      </c>
      <c r="M13" s="0" t="n">
        <v>16.86882</v>
      </c>
      <c r="N13" s="0" t="n">
        <v>17.5491</v>
      </c>
      <c r="O13" s="0" t="n">
        <v>16.11537</v>
      </c>
      <c r="P13" s="0" t="n">
        <v>17.19902</v>
      </c>
      <c r="Q13" s="0" t="n">
        <v>18.05992</v>
      </c>
      <c r="R13" s="0" t="n">
        <v>15.82143</v>
      </c>
      <c r="S13" s="0" t="n">
        <v>18.27034</v>
      </c>
      <c r="T13" s="0" t="n">
        <v>17.30207</v>
      </c>
      <c r="U13" s="0" t="n">
        <v>17.32052</v>
      </c>
      <c r="V13" s="0" t="n">
        <v>17.84623</v>
      </c>
      <c r="W13" s="0" t="n">
        <v>17.85745</v>
      </c>
      <c r="X13" s="0" t="n">
        <v>18.27317</v>
      </c>
      <c r="Y13" s="0" t="n">
        <v>17.10083</v>
      </c>
      <c r="Z13" s="0" t="n">
        <v>18.2564</v>
      </c>
      <c r="AA13" s="0" t="n">
        <v>17.80945</v>
      </c>
      <c r="AB13" s="0" t="n">
        <v>17.47564</v>
      </c>
      <c r="AC13" s="0" t="n">
        <v>16.52254</v>
      </c>
      <c r="AD13" s="0" t="n">
        <v>17.94261</v>
      </c>
      <c r="AE13" s="0" t="n">
        <v>64</v>
      </c>
      <c r="AF13" s="0" t="n">
        <v>2</v>
      </c>
      <c r="AG13" s="0" t="n">
        <v>0</v>
      </c>
      <c r="AH13" s="0" t="n">
        <v>47.9</v>
      </c>
      <c r="AI13" s="0" t="n">
        <v>1.5</v>
      </c>
      <c r="AJ13" s="0" t="n">
        <v>0</v>
      </c>
      <c r="AK13" s="0" t="n">
        <v>187.66</v>
      </c>
      <c r="AL13" s="0" t="n">
        <v>0</v>
      </c>
      <c r="AM13" s="0" t="n">
        <v>2.5194</v>
      </c>
      <c r="AN13" s="0" t="n">
        <v>7411000</v>
      </c>
      <c r="AO13" s="0" t="n">
        <v>19</v>
      </c>
      <c r="AP13" s="0" t="s">
        <v>99</v>
      </c>
      <c r="AQ13" s="0" t="s">
        <v>99</v>
      </c>
      <c r="AR13" s="0" t="s">
        <v>100</v>
      </c>
      <c r="AS13" s="0" t="s">
        <v>101</v>
      </c>
      <c r="AT13" s="0" t="s">
        <v>102</v>
      </c>
      <c r="AU13" s="0" t="n">
        <v>35</v>
      </c>
    </row>
    <row r="14" customFormat="false" ht="15" hidden="false" customHeight="false" outlineLevel="0" collapsed="false">
      <c r="A14" s="0" t="s">
        <v>105</v>
      </c>
      <c r="B14" s="0" t="s">
        <v>103</v>
      </c>
      <c r="C14" s="0" t="s">
        <v>104</v>
      </c>
      <c r="D14" s="0" t="n">
        <v>16.87099</v>
      </c>
      <c r="E14" s="0" t="n">
        <v>16.72521</v>
      </c>
      <c r="F14" s="0" t="n">
        <v>16.80788</v>
      </c>
      <c r="G14" s="0" t="n">
        <v>15.46483</v>
      </c>
      <c r="H14" s="0" t="n">
        <v>16.24533</v>
      </c>
      <c r="I14" s="0" t="n">
        <v>16.07289</v>
      </c>
      <c r="J14" s="0" t="n">
        <v>17.55293</v>
      </c>
      <c r="K14" s="0" t="n">
        <v>16.0528</v>
      </c>
      <c r="L14" s="0" t="n">
        <v>15.85389</v>
      </c>
      <c r="M14" s="0" t="n">
        <v>16.97455</v>
      </c>
      <c r="N14" s="0" t="n">
        <v>16.99713</v>
      </c>
      <c r="O14" s="0" t="n">
        <v>18.04244</v>
      </c>
      <c r="P14" s="0" t="n">
        <v>15.76394</v>
      </c>
      <c r="Q14" s="0" t="n">
        <v>15.20945</v>
      </c>
      <c r="R14" s="0" t="n">
        <v>16.83009</v>
      </c>
      <c r="S14" s="0" t="n">
        <v>15.99035</v>
      </c>
      <c r="T14" s="0" t="n">
        <v>16.29822</v>
      </c>
      <c r="U14" s="0" t="n">
        <v>14.95042</v>
      </c>
      <c r="V14" s="0" t="n">
        <v>16.30878</v>
      </c>
      <c r="W14" s="0" t="n">
        <v>17.02637</v>
      </c>
      <c r="X14" s="0" t="n">
        <v>15.35066</v>
      </c>
      <c r="Y14" s="0" t="n">
        <v>15.02851</v>
      </c>
      <c r="Z14" s="0" t="n">
        <v>15.72443</v>
      </c>
      <c r="AA14" s="0" t="n">
        <v>15.80176</v>
      </c>
      <c r="AB14" s="0" t="n">
        <v>16.63112</v>
      </c>
      <c r="AC14" s="0" t="n">
        <v>16.2312</v>
      </c>
      <c r="AD14" s="0" t="n">
        <v>16.76241</v>
      </c>
      <c r="AE14" s="0" t="n">
        <v>3</v>
      </c>
      <c r="AF14" s="0" t="n">
        <v>3</v>
      </c>
      <c r="AG14" s="0" t="n">
        <v>3</v>
      </c>
      <c r="AH14" s="0" t="n">
        <v>39.3</v>
      </c>
      <c r="AI14" s="0" t="n">
        <v>39.3</v>
      </c>
      <c r="AJ14" s="0" t="n">
        <v>39.3</v>
      </c>
      <c r="AK14" s="0" t="n">
        <v>12.815</v>
      </c>
      <c r="AL14" s="0" t="n">
        <v>0</v>
      </c>
      <c r="AM14" s="0" t="n">
        <v>4.8839</v>
      </c>
      <c r="AN14" s="0" t="n">
        <v>4060500</v>
      </c>
      <c r="AO14" s="0" t="n">
        <v>22</v>
      </c>
      <c r="AP14" s="0" t="s">
        <v>103</v>
      </c>
      <c r="AQ14" s="0" t="s">
        <v>103</v>
      </c>
      <c r="AR14" s="0" t="s">
        <v>65</v>
      </c>
      <c r="AU14" s="0" t="n">
        <v>41</v>
      </c>
    </row>
    <row r="15" customFormat="false" ht="15" hidden="false" customHeight="false" outlineLevel="0" collapsed="false">
      <c r="A15" s="0" t="s">
        <v>109</v>
      </c>
      <c r="B15" s="0" t="s">
        <v>107</v>
      </c>
      <c r="C15" s="0" t="s">
        <v>108</v>
      </c>
      <c r="D15" s="0" t="n">
        <v>18.36765</v>
      </c>
      <c r="E15" s="0" t="n">
        <v>19.0047</v>
      </c>
      <c r="F15" s="0" t="n">
        <v>16.93535</v>
      </c>
      <c r="G15" s="0" t="n">
        <v>19.05844</v>
      </c>
      <c r="H15" s="0" t="n">
        <v>18.90098</v>
      </c>
      <c r="I15" s="0" t="n">
        <v>19.43017</v>
      </c>
      <c r="J15" s="0" t="n">
        <v>18.28211</v>
      </c>
      <c r="K15" s="0" t="n">
        <v>18.67024</v>
      </c>
      <c r="L15" s="0" t="n">
        <v>17.82532</v>
      </c>
      <c r="M15" s="0" t="n">
        <v>17.42571</v>
      </c>
      <c r="N15" s="0" t="n">
        <v>15.8977</v>
      </c>
      <c r="O15" s="0" t="n">
        <v>19.78202</v>
      </c>
      <c r="P15" s="0" t="n">
        <v>19.32479</v>
      </c>
      <c r="Q15" s="0" t="n">
        <v>19.24546</v>
      </c>
      <c r="R15" s="0" t="n">
        <v>19.61949</v>
      </c>
      <c r="S15" s="0" t="n">
        <v>18.74324</v>
      </c>
      <c r="T15" s="0" t="n">
        <v>19.61901</v>
      </c>
      <c r="U15" s="0" t="n">
        <v>18.90894</v>
      </c>
      <c r="V15" s="0" t="n">
        <v>18.99333</v>
      </c>
      <c r="W15" s="0" t="n">
        <v>19.25082</v>
      </c>
      <c r="X15" s="0" t="n">
        <v>18.33001</v>
      </c>
      <c r="Y15" s="0" t="n">
        <v>18.07953</v>
      </c>
      <c r="Z15" s="0" t="n">
        <v>19.31893</v>
      </c>
      <c r="AA15" s="0" t="n">
        <v>20.22247</v>
      </c>
      <c r="AB15" s="0" t="n">
        <v>20.15894</v>
      </c>
      <c r="AC15" s="0" t="n">
        <v>19.80303</v>
      </c>
      <c r="AD15" s="0" t="n">
        <v>19.91963</v>
      </c>
      <c r="AE15" s="0" t="n">
        <v>16</v>
      </c>
      <c r="AF15" s="0" t="n">
        <v>16</v>
      </c>
      <c r="AG15" s="0" t="n">
        <v>16</v>
      </c>
      <c r="AH15" s="0" t="n">
        <v>39.4</v>
      </c>
      <c r="AI15" s="0" t="n">
        <v>39.4</v>
      </c>
      <c r="AJ15" s="0" t="n">
        <v>39.4</v>
      </c>
      <c r="AK15" s="0" t="n">
        <v>81.889</v>
      </c>
      <c r="AL15" s="0" t="n">
        <v>0</v>
      </c>
      <c r="AM15" s="0" t="n">
        <v>310.21</v>
      </c>
      <c r="AN15" s="0" t="n">
        <v>20215000</v>
      </c>
      <c r="AO15" s="0" t="n">
        <v>45</v>
      </c>
      <c r="AP15" s="0" t="s">
        <v>106</v>
      </c>
      <c r="AQ15" s="0" t="s">
        <v>107</v>
      </c>
      <c r="AR15" s="0" t="s">
        <v>110</v>
      </c>
      <c r="AS15" s="0" t="n">
        <v>21</v>
      </c>
      <c r="AT15" s="0" t="n">
        <v>407</v>
      </c>
      <c r="AU15" s="0" t="n">
        <v>44</v>
      </c>
    </row>
    <row r="16" customFormat="false" ht="15" hidden="false" customHeight="false" outlineLevel="0" collapsed="false">
      <c r="A16" s="0" t="s">
        <v>114</v>
      </c>
      <c r="B16" s="0" t="s">
        <v>112</v>
      </c>
      <c r="C16" s="0" t="s">
        <v>113</v>
      </c>
      <c r="D16" s="0" t="n">
        <v>19.24298</v>
      </c>
      <c r="E16" s="0" t="n">
        <v>19.62824</v>
      </c>
      <c r="F16" s="0" t="n">
        <v>18.7613</v>
      </c>
      <c r="G16" s="0" t="n">
        <v>19.6322</v>
      </c>
      <c r="H16" s="0" t="n">
        <v>20.27264</v>
      </c>
      <c r="I16" s="0" t="n">
        <v>19.30184</v>
      </c>
      <c r="J16" s="0" t="n">
        <v>20.62694</v>
      </c>
      <c r="K16" s="0" t="n">
        <v>19.75174</v>
      </c>
      <c r="L16" s="0" t="n">
        <v>19.14602</v>
      </c>
      <c r="M16" s="0" t="n">
        <v>20.44849</v>
      </c>
      <c r="N16" s="0" t="n">
        <v>15.85504</v>
      </c>
      <c r="O16" s="0" t="n">
        <v>21.54694</v>
      </c>
      <c r="P16" s="0" t="n">
        <v>19.57511</v>
      </c>
      <c r="Q16" s="0" t="n">
        <v>19.70548</v>
      </c>
      <c r="R16" s="0" t="n">
        <v>20.97078</v>
      </c>
      <c r="S16" s="0" t="n">
        <v>19.76704</v>
      </c>
      <c r="T16" s="0" t="n">
        <v>19.71478</v>
      </c>
      <c r="U16" s="0" t="n">
        <v>19.66075</v>
      </c>
      <c r="V16" s="0" t="n">
        <v>19.86501</v>
      </c>
      <c r="W16" s="0" t="n">
        <v>19.41305</v>
      </c>
      <c r="X16" s="0" t="n">
        <v>20.28365</v>
      </c>
      <c r="Y16" s="0" t="n">
        <v>20.01182</v>
      </c>
      <c r="Z16" s="0" t="n">
        <v>19.60252</v>
      </c>
      <c r="AA16" s="0" t="n">
        <v>20.03966</v>
      </c>
      <c r="AB16" s="0" t="n">
        <v>20.36217</v>
      </c>
      <c r="AC16" s="0" t="n">
        <v>19.74207</v>
      </c>
      <c r="AD16" s="0" t="n">
        <v>20.61746</v>
      </c>
      <c r="AE16" s="0" t="n">
        <v>34</v>
      </c>
      <c r="AF16" s="0" t="n">
        <v>34</v>
      </c>
      <c r="AG16" s="0" t="n">
        <v>24</v>
      </c>
      <c r="AH16" s="0" t="n">
        <v>35.2</v>
      </c>
      <c r="AI16" s="0" t="n">
        <v>35.2</v>
      </c>
      <c r="AJ16" s="0" t="n">
        <v>23.5</v>
      </c>
      <c r="AK16" s="0" t="n">
        <v>140.94</v>
      </c>
      <c r="AL16" s="0" t="n">
        <v>0</v>
      </c>
      <c r="AM16" s="0" t="n">
        <v>106.32</v>
      </c>
      <c r="AN16" s="0" t="n">
        <v>45635000</v>
      </c>
      <c r="AO16" s="0" t="n">
        <v>147</v>
      </c>
      <c r="AP16" s="0" t="s">
        <v>111</v>
      </c>
      <c r="AQ16" s="0" t="s">
        <v>112</v>
      </c>
      <c r="AR16" s="0" t="s">
        <v>115</v>
      </c>
      <c r="AS16" s="0" t="s">
        <v>116</v>
      </c>
      <c r="AT16" s="0" t="s">
        <v>117</v>
      </c>
      <c r="AU16" s="0" t="n">
        <v>46</v>
      </c>
    </row>
    <row r="17" customFormat="false" ht="15" hidden="false" customHeight="false" outlineLevel="0" collapsed="false">
      <c r="A17" s="0" t="s">
        <v>120</v>
      </c>
      <c r="B17" s="0" t="s">
        <v>118</v>
      </c>
      <c r="C17" s="0" t="s">
        <v>119</v>
      </c>
      <c r="D17" s="0" t="n">
        <v>20.96332</v>
      </c>
      <c r="E17" s="0" t="n">
        <v>20.67702</v>
      </c>
      <c r="F17" s="0" t="n">
        <v>20.54189</v>
      </c>
      <c r="G17" s="0" t="n">
        <v>20.74706</v>
      </c>
      <c r="H17" s="0" t="n">
        <v>21.04347</v>
      </c>
      <c r="I17" s="0" t="n">
        <v>21.29603</v>
      </c>
      <c r="J17" s="0" t="n">
        <v>20.57089</v>
      </c>
      <c r="K17" s="0" t="n">
        <v>21.89078</v>
      </c>
      <c r="L17" s="0" t="n">
        <v>21.34965</v>
      </c>
      <c r="M17" s="0" t="n">
        <v>21.53867</v>
      </c>
      <c r="N17" s="0" t="n">
        <v>21.20729</v>
      </c>
      <c r="O17" s="0" t="n">
        <v>20.77427</v>
      </c>
      <c r="P17" s="0" t="n">
        <v>22.25664</v>
      </c>
      <c r="Q17" s="0" t="n">
        <v>20.42859</v>
      </c>
      <c r="R17" s="0" t="n">
        <v>20.6054</v>
      </c>
      <c r="S17" s="0" t="n">
        <v>21.66514</v>
      </c>
      <c r="T17" s="0" t="n">
        <v>21.5609</v>
      </c>
      <c r="U17" s="0" t="n">
        <v>21.02715</v>
      </c>
      <c r="V17" s="0" t="n">
        <v>21.52061</v>
      </c>
      <c r="W17" s="0" t="n">
        <v>21.20108</v>
      </c>
      <c r="X17" s="0" t="n">
        <v>22.83148</v>
      </c>
      <c r="Y17" s="0" t="n">
        <v>21.84487</v>
      </c>
      <c r="Z17" s="0" t="n">
        <v>21.31529</v>
      </c>
      <c r="AA17" s="0" t="n">
        <v>21.30084</v>
      </c>
      <c r="AB17" s="0" t="n">
        <v>21.68496</v>
      </c>
      <c r="AC17" s="0" t="n">
        <v>21.60612</v>
      </c>
      <c r="AD17" s="0" t="n">
        <v>21.75666</v>
      </c>
      <c r="AE17" s="0" t="n">
        <v>25</v>
      </c>
      <c r="AF17" s="0" t="n">
        <v>25</v>
      </c>
      <c r="AG17" s="0" t="n">
        <v>25</v>
      </c>
      <c r="AH17" s="0" t="n">
        <v>38.6</v>
      </c>
      <c r="AI17" s="0" t="n">
        <v>38.6</v>
      </c>
      <c r="AJ17" s="0" t="n">
        <v>38.6</v>
      </c>
      <c r="AK17" s="0" t="n">
        <v>103.88</v>
      </c>
      <c r="AL17" s="0" t="n">
        <v>0</v>
      </c>
      <c r="AM17" s="0" t="n">
        <v>323.31</v>
      </c>
      <c r="AN17" s="0" t="n">
        <v>106840000</v>
      </c>
      <c r="AO17" s="0" t="n">
        <v>314</v>
      </c>
      <c r="AP17" s="0" t="s">
        <v>118</v>
      </c>
      <c r="AQ17" s="0" t="s">
        <v>118</v>
      </c>
      <c r="AR17" s="0" t="s">
        <v>121</v>
      </c>
      <c r="AS17" s="0" t="s">
        <v>122</v>
      </c>
      <c r="AT17" s="0" t="s">
        <v>123</v>
      </c>
      <c r="AU17" s="0" t="n">
        <v>48</v>
      </c>
    </row>
    <row r="18" customFormat="false" ht="15" hidden="false" customHeight="false" outlineLevel="0" collapsed="false">
      <c r="A18" s="0" t="s">
        <v>127</v>
      </c>
      <c r="B18" s="0" t="s">
        <v>125</v>
      </c>
      <c r="C18" s="0" t="s">
        <v>126</v>
      </c>
      <c r="D18" s="0" t="n">
        <v>16.70523</v>
      </c>
      <c r="E18" s="0" t="n">
        <v>16.24299</v>
      </c>
      <c r="F18" s="0" t="n">
        <v>16.76552</v>
      </c>
      <c r="G18" s="0" t="n">
        <v>17.33429</v>
      </c>
      <c r="H18" s="0" t="n">
        <v>16.88178</v>
      </c>
      <c r="I18" s="0" t="n">
        <v>17.82196</v>
      </c>
      <c r="J18" s="0" t="n">
        <v>19.60695</v>
      </c>
      <c r="K18" s="0" t="n">
        <v>15.73566</v>
      </c>
      <c r="L18" s="0" t="n">
        <v>17.1434</v>
      </c>
      <c r="M18" s="0" t="n">
        <v>17.66317</v>
      </c>
      <c r="N18" s="0" t="n">
        <v>16.83415</v>
      </c>
      <c r="O18" s="0" t="n">
        <v>19.6268</v>
      </c>
      <c r="P18" s="0" t="n">
        <v>15.88855</v>
      </c>
      <c r="Q18" s="0" t="n">
        <v>16.90759</v>
      </c>
      <c r="R18" s="0" t="n">
        <v>19.55056</v>
      </c>
      <c r="S18" s="0" t="n">
        <v>16.69561</v>
      </c>
      <c r="T18" s="0" t="n">
        <v>13.50542</v>
      </c>
      <c r="U18" s="0" t="n">
        <v>15.68606</v>
      </c>
      <c r="V18" s="0" t="n">
        <v>16.28962</v>
      </c>
      <c r="W18" s="0" t="n">
        <v>16.15644</v>
      </c>
      <c r="X18" s="0" t="n">
        <v>14.86873</v>
      </c>
      <c r="Y18" s="0" t="n">
        <v>15.83061</v>
      </c>
      <c r="Z18" s="0" t="n">
        <v>16.23244</v>
      </c>
      <c r="AA18" s="0" t="n">
        <v>16.10617</v>
      </c>
      <c r="AB18" s="0" t="n">
        <v>13.92333</v>
      </c>
      <c r="AC18" s="0" t="n">
        <v>16.10607</v>
      </c>
      <c r="AD18" s="0" t="n">
        <v>14.54472</v>
      </c>
      <c r="AE18" s="0" t="n">
        <v>5</v>
      </c>
      <c r="AF18" s="0" t="n">
        <v>5</v>
      </c>
      <c r="AG18" s="0" t="n">
        <v>5</v>
      </c>
      <c r="AH18" s="0" t="n">
        <v>26</v>
      </c>
      <c r="AI18" s="0" t="n">
        <v>26</v>
      </c>
      <c r="AJ18" s="0" t="n">
        <v>26</v>
      </c>
      <c r="AK18" s="0" t="n">
        <v>24.158</v>
      </c>
      <c r="AL18" s="0" t="n">
        <v>0</v>
      </c>
      <c r="AM18" s="0" t="n">
        <v>19.093</v>
      </c>
      <c r="AN18" s="0" t="n">
        <v>8489300</v>
      </c>
      <c r="AO18" s="0" t="n">
        <v>35</v>
      </c>
      <c r="AP18" s="0" t="s">
        <v>124</v>
      </c>
      <c r="AQ18" s="0" t="s">
        <v>125</v>
      </c>
      <c r="AR18" s="0" t="s">
        <v>87</v>
      </c>
      <c r="AS18" s="0" t="n">
        <v>26</v>
      </c>
      <c r="AT18" s="0" t="n">
        <v>205</v>
      </c>
      <c r="AU18" s="0" t="n">
        <v>49</v>
      </c>
    </row>
    <row r="19" customFormat="false" ht="15" hidden="false" customHeight="false" outlineLevel="0" collapsed="false">
      <c r="A19" s="0" t="s">
        <v>131</v>
      </c>
      <c r="B19" s="0" t="s">
        <v>129</v>
      </c>
      <c r="C19" s="0" t="s">
        <v>130</v>
      </c>
      <c r="D19" s="0" t="n">
        <v>14.48834</v>
      </c>
      <c r="E19" s="0" t="n">
        <v>14.79299</v>
      </c>
      <c r="F19" s="0" t="n">
        <v>16.01837</v>
      </c>
      <c r="G19" s="0" t="n">
        <v>15.02756</v>
      </c>
      <c r="H19" s="0" t="n">
        <v>14.68212</v>
      </c>
      <c r="I19" s="0" t="n">
        <v>14.80438</v>
      </c>
      <c r="J19" s="0" t="n">
        <v>14.2246</v>
      </c>
      <c r="K19" s="0" t="n">
        <v>14.342</v>
      </c>
      <c r="L19" s="0" t="n">
        <v>14.30705</v>
      </c>
      <c r="M19" s="0" t="n">
        <v>15.38245</v>
      </c>
      <c r="N19" s="0" t="n">
        <v>17.54364</v>
      </c>
      <c r="O19" s="0" t="n">
        <v>14.0467</v>
      </c>
      <c r="P19" s="0" t="n">
        <v>16.61886</v>
      </c>
      <c r="Q19" s="0" t="n">
        <v>13.89983</v>
      </c>
      <c r="R19" s="0" t="n">
        <v>14.01985</v>
      </c>
      <c r="S19" s="0" t="n">
        <v>14.31897</v>
      </c>
      <c r="T19" s="0" t="n">
        <v>14.57784</v>
      </c>
      <c r="U19" s="0" t="n">
        <v>14.74599</v>
      </c>
      <c r="V19" s="0" t="n">
        <v>14.51668</v>
      </c>
      <c r="W19" s="0" t="n">
        <v>14.63923</v>
      </c>
      <c r="X19" s="0" t="n">
        <v>14.78979</v>
      </c>
      <c r="Y19" s="0" t="n">
        <v>14.30064</v>
      </c>
      <c r="Z19" s="0" t="n">
        <v>14.61909</v>
      </c>
      <c r="AA19" s="0" t="n">
        <v>14.26539</v>
      </c>
      <c r="AB19" s="0" t="n">
        <v>14.21105</v>
      </c>
      <c r="AC19" s="0" t="n">
        <v>14.82242</v>
      </c>
      <c r="AD19" s="0" t="n">
        <v>14.75578</v>
      </c>
      <c r="AE19" s="0" t="n">
        <v>3</v>
      </c>
      <c r="AF19" s="0" t="n">
        <v>3</v>
      </c>
      <c r="AG19" s="0" t="n">
        <v>3</v>
      </c>
      <c r="AH19" s="0" t="n">
        <v>6.3</v>
      </c>
      <c r="AI19" s="0" t="n">
        <v>6.3</v>
      </c>
      <c r="AJ19" s="0" t="n">
        <v>6.3</v>
      </c>
      <c r="AK19" s="0" t="n">
        <v>71.482</v>
      </c>
      <c r="AL19" s="0" t="n">
        <v>0</v>
      </c>
      <c r="AM19" s="0" t="n">
        <v>2.0404</v>
      </c>
      <c r="AN19" s="0" t="n">
        <v>830480</v>
      </c>
      <c r="AO19" s="0" t="n">
        <v>10</v>
      </c>
      <c r="AP19" s="0" t="s">
        <v>128</v>
      </c>
      <c r="AQ19" s="0" t="s">
        <v>129</v>
      </c>
      <c r="AR19" s="0" t="s">
        <v>65</v>
      </c>
      <c r="AU19" s="0" t="n">
        <v>68</v>
      </c>
    </row>
    <row r="20" customFormat="false" ht="15" hidden="false" customHeight="false" outlineLevel="0" collapsed="false">
      <c r="A20" s="0" t="s">
        <v>134</v>
      </c>
      <c r="B20" s="0" t="s">
        <v>132</v>
      </c>
      <c r="C20" s="0" t="s">
        <v>133</v>
      </c>
      <c r="D20" s="0" t="n">
        <v>16.96251</v>
      </c>
      <c r="E20" s="0" t="n">
        <v>15.6474</v>
      </c>
      <c r="F20" s="0" t="n">
        <v>16.36293</v>
      </c>
      <c r="G20" s="0" t="n">
        <v>16.06842</v>
      </c>
      <c r="H20" s="0" t="n">
        <v>16.47856</v>
      </c>
      <c r="I20" s="0" t="n">
        <v>16.61884</v>
      </c>
      <c r="J20" s="0" t="n">
        <v>17.40333</v>
      </c>
      <c r="K20" s="0" t="n">
        <v>16.12811</v>
      </c>
      <c r="L20" s="0" t="n">
        <v>16.74491</v>
      </c>
      <c r="M20" s="0" t="n">
        <v>17.06108</v>
      </c>
      <c r="N20" s="0" t="n">
        <v>17.12307</v>
      </c>
      <c r="O20" s="0" t="n">
        <v>19.09697</v>
      </c>
      <c r="P20" s="0" t="n">
        <v>15.7436</v>
      </c>
      <c r="Q20" s="0" t="n">
        <v>16.17713</v>
      </c>
      <c r="R20" s="0" t="n">
        <v>17.80612</v>
      </c>
      <c r="S20" s="0" t="n">
        <v>16.37103</v>
      </c>
      <c r="T20" s="0" t="n">
        <v>15.74531</v>
      </c>
      <c r="U20" s="0" t="n">
        <v>16.0411</v>
      </c>
      <c r="V20" s="0" t="n">
        <v>15.90452</v>
      </c>
      <c r="W20" s="0" t="n">
        <v>16.81903</v>
      </c>
      <c r="X20" s="0" t="n">
        <v>14.64135</v>
      </c>
      <c r="Y20" s="0" t="n">
        <v>17.13711</v>
      </c>
      <c r="Z20" s="0" t="n">
        <v>15.56084</v>
      </c>
      <c r="AA20" s="0" t="n">
        <v>15.61876</v>
      </c>
      <c r="AB20" s="0" t="n">
        <v>16.04097</v>
      </c>
      <c r="AC20" s="0" t="n">
        <v>16.29873</v>
      </c>
      <c r="AD20" s="0" t="n">
        <v>15.57406</v>
      </c>
      <c r="AE20" s="0" t="n">
        <v>4</v>
      </c>
      <c r="AF20" s="0" t="n">
        <v>4</v>
      </c>
      <c r="AG20" s="0" t="n">
        <v>4</v>
      </c>
      <c r="AH20" s="0" t="n">
        <v>41.4</v>
      </c>
      <c r="AI20" s="0" t="n">
        <v>41.4</v>
      </c>
      <c r="AJ20" s="0" t="n">
        <v>41.4</v>
      </c>
      <c r="AK20" s="0" t="n">
        <v>17.679</v>
      </c>
      <c r="AL20" s="0" t="n">
        <v>0</v>
      </c>
      <c r="AM20" s="0" t="n">
        <v>5.7896</v>
      </c>
      <c r="AN20" s="0" t="n">
        <v>4658700</v>
      </c>
      <c r="AO20" s="0" t="n">
        <v>9</v>
      </c>
      <c r="AP20" s="0" t="s">
        <v>132</v>
      </c>
      <c r="AQ20" s="0" t="s">
        <v>132</v>
      </c>
      <c r="AR20" s="0" t="s">
        <v>135</v>
      </c>
      <c r="AU20" s="0" t="n">
        <v>69</v>
      </c>
    </row>
    <row r="21" customFormat="false" ht="15" hidden="false" customHeight="false" outlineLevel="0" collapsed="false">
      <c r="A21" s="0" t="s">
        <v>139</v>
      </c>
      <c r="B21" s="0" t="s">
        <v>137</v>
      </c>
      <c r="C21" s="0" t="s">
        <v>138</v>
      </c>
      <c r="D21" s="0" t="n">
        <v>17.9036</v>
      </c>
      <c r="E21" s="0" t="n">
        <v>17.99937</v>
      </c>
      <c r="F21" s="0" t="n">
        <v>18.41055</v>
      </c>
      <c r="G21" s="0" t="n">
        <v>18.24665</v>
      </c>
      <c r="H21" s="0" t="n">
        <v>18.56852</v>
      </c>
      <c r="I21" s="0" t="n">
        <v>18.96065</v>
      </c>
      <c r="J21" s="0" t="n">
        <v>18.019</v>
      </c>
      <c r="K21" s="0" t="n">
        <v>18.90304</v>
      </c>
      <c r="L21" s="0" t="n">
        <v>18.38385</v>
      </c>
      <c r="M21" s="0" t="n">
        <v>18.88136</v>
      </c>
      <c r="N21" s="0" t="n">
        <v>17.18513</v>
      </c>
      <c r="O21" s="0" t="n">
        <v>17.44912</v>
      </c>
      <c r="P21" s="0" t="n">
        <v>18.63062</v>
      </c>
      <c r="Q21" s="0" t="n">
        <v>19.42675</v>
      </c>
      <c r="R21" s="0" t="n">
        <v>18.3753</v>
      </c>
      <c r="S21" s="0" t="n">
        <v>18.32474</v>
      </c>
      <c r="T21" s="0" t="n">
        <v>18.74944</v>
      </c>
      <c r="U21" s="0" t="n">
        <v>18.53169</v>
      </c>
      <c r="V21" s="0" t="n">
        <v>18.9861</v>
      </c>
      <c r="W21" s="0" t="n">
        <v>18.86348</v>
      </c>
      <c r="X21" s="0" t="n">
        <v>18.76325</v>
      </c>
      <c r="Y21" s="0" t="n">
        <v>19.03869</v>
      </c>
      <c r="Z21" s="0" t="n">
        <v>18.40715</v>
      </c>
      <c r="AA21" s="0" t="n">
        <v>18.57093</v>
      </c>
      <c r="AB21" s="0" t="n">
        <v>19.1775</v>
      </c>
      <c r="AC21" s="0" t="n">
        <v>19.03158</v>
      </c>
      <c r="AD21" s="0" t="n">
        <v>19.60462</v>
      </c>
      <c r="AE21" s="0" t="n">
        <v>12</v>
      </c>
      <c r="AF21" s="0" t="n">
        <v>12</v>
      </c>
      <c r="AG21" s="0" t="n">
        <v>12</v>
      </c>
      <c r="AH21" s="0" t="n">
        <v>28.1</v>
      </c>
      <c r="AI21" s="0" t="n">
        <v>28.1</v>
      </c>
      <c r="AJ21" s="0" t="n">
        <v>28.1</v>
      </c>
      <c r="AK21" s="0" t="n">
        <v>65.059</v>
      </c>
      <c r="AL21" s="0" t="n">
        <v>0</v>
      </c>
      <c r="AM21" s="0" t="n">
        <v>29.539</v>
      </c>
      <c r="AN21" s="0" t="n">
        <v>15487000</v>
      </c>
      <c r="AO21" s="0" t="n">
        <v>89</v>
      </c>
      <c r="AP21" s="0" t="s">
        <v>136</v>
      </c>
      <c r="AQ21" s="0" t="s">
        <v>137</v>
      </c>
      <c r="AR21" s="0" t="s">
        <v>140</v>
      </c>
      <c r="AU21" s="0" t="n">
        <v>73</v>
      </c>
    </row>
    <row r="22" customFormat="false" ht="15" hidden="false" customHeight="false" outlineLevel="0" collapsed="false">
      <c r="A22" s="0" t="s">
        <v>144</v>
      </c>
      <c r="B22" s="0" t="s">
        <v>142</v>
      </c>
      <c r="C22" s="0" t="s">
        <v>143</v>
      </c>
      <c r="D22" s="0" t="n">
        <v>17.15877</v>
      </c>
      <c r="E22" s="0" t="n">
        <v>17.60176</v>
      </c>
      <c r="F22" s="0" t="n">
        <v>16.15444</v>
      </c>
      <c r="G22" s="0" t="n">
        <v>17.25985</v>
      </c>
      <c r="H22" s="0" t="n">
        <v>17.74832</v>
      </c>
      <c r="I22" s="0" t="n">
        <v>17.93249</v>
      </c>
      <c r="J22" s="0" t="n">
        <v>17.18107</v>
      </c>
      <c r="K22" s="0" t="n">
        <v>17.38945</v>
      </c>
      <c r="L22" s="0" t="n">
        <v>16.68661</v>
      </c>
      <c r="M22" s="0" t="n">
        <v>17.40757</v>
      </c>
      <c r="N22" s="0" t="n">
        <v>16.70231</v>
      </c>
      <c r="O22" s="0" t="n">
        <v>16.21847</v>
      </c>
      <c r="P22" s="0" t="n">
        <v>17.58358</v>
      </c>
      <c r="Q22" s="0" t="n">
        <v>18.16212</v>
      </c>
      <c r="R22" s="0" t="n">
        <v>17.67927</v>
      </c>
      <c r="S22" s="0" t="n">
        <v>17.47959</v>
      </c>
      <c r="T22" s="0" t="n">
        <v>18.09661</v>
      </c>
      <c r="U22" s="0" t="n">
        <v>17.7604</v>
      </c>
      <c r="V22" s="0" t="n">
        <v>17.61274</v>
      </c>
      <c r="W22" s="0" t="n">
        <v>17.80423</v>
      </c>
      <c r="X22" s="0" t="n">
        <v>16.97656</v>
      </c>
      <c r="Y22" s="0" t="n">
        <v>17.23463</v>
      </c>
      <c r="Z22" s="0" t="n">
        <v>17.64223</v>
      </c>
      <c r="AA22" s="0" t="n">
        <v>18.02626</v>
      </c>
      <c r="AB22" s="0" t="n">
        <v>18.10011</v>
      </c>
      <c r="AC22" s="0" t="n">
        <v>17.68442</v>
      </c>
      <c r="AD22" s="0" t="n">
        <v>18.38406</v>
      </c>
      <c r="AE22" s="0" t="n">
        <v>10</v>
      </c>
      <c r="AF22" s="0" t="n">
        <v>10</v>
      </c>
      <c r="AG22" s="0" t="n">
        <v>10</v>
      </c>
      <c r="AH22" s="0" t="n">
        <v>26.9</v>
      </c>
      <c r="AI22" s="0" t="n">
        <v>26.9</v>
      </c>
      <c r="AJ22" s="0" t="n">
        <v>26.9</v>
      </c>
      <c r="AK22" s="0" t="n">
        <v>57.519</v>
      </c>
      <c r="AL22" s="0" t="n">
        <v>0</v>
      </c>
      <c r="AM22" s="0" t="n">
        <v>30.288</v>
      </c>
      <c r="AN22" s="0" t="n">
        <v>7013200</v>
      </c>
      <c r="AO22" s="0" t="n">
        <v>62</v>
      </c>
      <c r="AP22" s="0" t="s">
        <v>141</v>
      </c>
      <c r="AQ22" s="0" t="s">
        <v>142</v>
      </c>
      <c r="AR22" s="0" t="s">
        <v>145</v>
      </c>
      <c r="AU22" s="0" t="n">
        <v>79</v>
      </c>
    </row>
    <row r="23" customFormat="false" ht="15" hidden="false" customHeight="false" outlineLevel="0" collapsed="false">
      <c r="A23" s="0" t="s">
        <v>149</v>
      </c>
      <c r="B23" s="0" t="s">
        <v>147</v>
      </c>
      <c r="C23" s="0" t="s">
        <v>148</v>
      </c>
      <c r="D23" s="0" t="n">
        <v>16.03228</v>
      </c>
      <c r="E23" s="0" t="n">
        <v>15.68762</v>
      </c>
      <c r="F23" s="0" t="n">
        <v>17.02894</v>
      </c>
      <c r="G23" s="0" t="n">
        <v>15.65997</v>
      </c>
      <c r="H23" s="0" t="n">
        <v>16.28093</v>
      </c>
      <c r="I23" s="0" t="n">
        <v>16.10349</v>
      </c>
      <c r="J23" s="0" t="n">
        <v>16.72081</v>
      </c>
      <c r="K23" s="0" t="n">
        <v>16.28171</v>
      </c>
      <c r="L23" s="0" t="n">
        <v>16.09795</v>
      </c>
      <c r="M23" s="0" t="n">
        <v>16.60964</v>
      </c>
      <c r="N23" s="0" t="n">
        <v>16.20086</v>
      </c>
      <c r="O23" s="0" t="n">
        <v>19.20278</v>
      </c>
      <c r="P23" s="0" t="n">
        <v>17.40624</v>
      </c>
      <c r="Q23" s="0" t="n">
        <v>17.04921</v>
      </c>
      <c r="R23" s="0" t="n">
        <v>17.15116</v>
      </c>
      <c r="S23" s="0" t="n">
        <v>15.63594</v>
      </c>
      <c r="T23" s="0" t="n">
        <v>15.97578</v>
      </c>
      <c r="U23" s="0" t="n">
        <v>16.62856</v>
      </c>
      <c r="V23" s="0" t="n">
        <v>15.69675</v>
      </c>
      <c r="W23" s="0" t="n">
        <v>16.13777</v>
      </c>
      <c r="X23" s="0" t="n">
        <v>16.51595</v>
      </c>
      <c r="Y23" s="0" t="n">
        <v>16.00933</v>
      </c>
      <c r="Z23" s="0" t="n">
        <v>17.96753</v>
      </c>
      <c r="AA23" s="0" t="n">
        <v>18.1683</v>
      </c>
      <c r="AB23" s="0" t="n">
        <v>15.41858</v>
      </c>
      <c r="AC23" s="0" t="n">
        <v>16.34096</v>
      </c>
      <c r="AD23" s="0" t="n">
        <v>16.42789</v>
      </c>
      <c r="AE23" s="0" t="n">
        <v>7</v>
      </c>
      <c r="AF23" s="0" t="n">
        <v>7</v>
      </c>
      <c r="AG23" s="0" t="n">
        <v>7</v>
      </c>
      <c r="AH23" s="0" t="n">
        <v>12.8</v>
      </c>
      <c r="AI23" s="0" t="n">
        <v>12.8</v>
      </c>
      <c r="AJ23" s="0" t="n">
        <v>12.8</v>
      </c>
      <c r="AK23" s="0" t="n">
        <v>76.773</v>
      </c>
      <c r="AL23" s="0" t="n">
        <v>0</v>
      </c>
      <c r="AM23" s="0" t="n">
        <v>4.8021</v>
      </c>
      <c r="AN23" s="0" t="n">
        <v>4459100</v>
      </c>
      <c r="AO23" s="0" t="n">
        <v>18</v>
      </c>
      <c r="AP23" s="0" t="s">
        <v>146</v>
      </c>
      <c r="AQ23" s="0" t="s">
        <v>147</v>
      </c>
      <c r="AR23" s="0" t="s">
        <v>150</v>
      </c>
      <c r="AU23" s="0" t="n">
        <v>82</v>
      </c>
    </row>
    <row r="24" customFormat="false" ht="15" hidden="false" customHeight="false" outlineLevel="0" collapsed="false">
      <c r="A24" s="0" t="s">
        <v>154</v>
      </c>
      <c r="B24" s="0" t="s">
        <v>152</v>
      </c>
      <c r="C24" s="0" t="s">
        <v>153</v>
      </c>
      <c r="D24" s="0" t="n">
        <v>16.95629</v>
      </c>
      <c r="E24" s="0" t="n">
        <v>16.00246</v>
      </c>
      <c r="F24" s="0" t="n">
        <v>17.58564</v>
      </c>
      <c r="G24" s="0" t="n">
        <v>15.39419</v>
      </c>
      <c r="H24" s="0" t="n">
        <v>17.23827</v>
      </c>
      <c r="I24" s="0" t="n">
        <v>17.4399</v>
      </c>
      <c r="J24" s="0" t="n">
        <v>16.17035</v>
      </c>
      <c r="K24" s="0" t="n">
        <v>17.10339</v>
      </c>
      <c r="L24" s="0" t="n">
        <v>16.02624</v>
      </c>
      <c r="M24" s="0" t="n">
        <v>16.28989</v>
      </c>
      <c r="N24" s="0" t="n">
        <v>16.82182</v>
      </c>
      <c r="O24" s="0" t="n">
        <v>18.67756</v>
      </c>
      <c r="P24" s="0" t="n">
        <v>17.41105</v>
      </c>
      <c r="Q24" s="0" t="n">
        <v>15.71272</v>
      </c>
      <c r="R24" s="0" t="n">
        <v>19.01463</v>
      </c>
      <c r="S24" s="0" t="n">
        <v>15.29311</v>
      </c>
      <c r="T24" s="0" t="n">
        <v>17.31946</v>
      </c>
      <c r="U24" s="0" t="n">
        <v>17.02583</v>
      </c>
      <c r="V24" s="0" t="n">
        <v>14.07038</v>
      </c>
      <c r="W24" s="0" t="n">
        <v>17.08254</v>
      </c>
      <c r="X24" s="0" t="n">
        <v>16.48946</v>
      </c>
      <c r="Y24" s="0" t="n">
        <v>16.72494</v>
      </c>
      <c r="Z24" s="0" t="n">
        <v>13.6196</v>
      </c>
      <c r="AA24" s="0" t="n">
        <v>16.07869</v>
      </c>
      <c r="AB24" s="0" t="n">
        <v>17.30804</v>
      </c>
      <c r="AC24" s="0" t="n">
        <v>16.60864</v>
      </c>
      <c r="AD24" s="0" t="n">
        <v>17.24739</v>
      </c>
      <c r="AE24" s="0" t="n">
        <v>6</v>
      </c>
      <c r="AF24" s="0" t="n">
        <v>6</v>
      </c>
      <c r="AG24" s="0" t="n">
        <v>6</v>
      </c>
      <c r="AH24" s="0" t="n">
        <v>22.1</v>
      </c>
      <c r="AI24" s="0" t="n">
        <v>22.1</v>
      </c>
      <c r="AJ24" s="0" t="n">
        <v>22.1</v>
      </c>
      <c r="AK24" s="0" t="n">
        <v>43.974</v>
      </c>
      <c r="AL24" s="0" t="n">
        <v>0</v>
      </c>
      <c r="AM24" s="0" t="n">
        <v>8.6795</v>
      </c>
      <c r="AN24" s="0" t="n">
        <v>4973400</v>
      </c>
      <c r="AO24" s="0" t="n">
        <v>19</v>
      </c>
      <c r="AP24" s="0" t="s">
        <v>151</v>
      </c>
      <c r="AQ24" s="0" t="s">
        <v>152</v>
      </c>
      <c r="AR24" s="0" t="s">
        <v>155</v>
      </c>
      <c r="AU24" s="0" t="n">
        <v>87</v>
      </c>
    </row>
    <row r="25" customFormat="false" ht="15" hidden="false" customHeight="false" outlineLevel="0" collapsed="false">
      <c r="A25" s="0" t="s">
        <v>158</v>
      </c>
      <c r="B25" s="0" t="s">
        <v>156</v>
      </c>
      <c r="C25" s="0" t="s">
        <v>157</v>
      </c>
      <c r="D25" s="0" t="n">
        <v>16.12541</v>
      </c>
      <c r="E25" s="0" t="n">
        <v>16.90006</v>
      </c>
      <c r="F25" s="0" t="n">
        <v>17.03099</v>
      </c>
      <c r="G25" s="0" t="n">
        <v>15.02486</v>
      </c>
      <c r="H25" s="0" t="n">
        <v>16.98904</v>
      </c>
      <c r="I25" s="0" t="n">
        <v>15.77646</v>
      </c>
      <c r="J25" s="0" t="n">
        <v>18.29415</v>
      </c>
      <c r="K25" s="0" t="n">
        <v>15.75437</v>
      </c>
      <c r="L25" s="0" t="n">
        <v>16.41272</v>
      </c>
      <c r="M25" s="0" t="n">
        <v>14.75822</v>
      </c>
      <c r="N25" s="0" t="n">
        <v>17.29572</v>
      </c>
      <c r="O25" s="0" t="n">
        <v>19.41316</v>
      </c>
      <c r="P25" s="0" t="n">
        <v>17.62842</v>
      </c>
      <c r="Q25" s="0" t="n">
        <v>15.48671</v>
      </c>
      <c r="R25" s="0" t="n">
        <v>19.30454</v>
      </c>
      <c r="S25" s="0" t="n">
        <v>16.48448</v>
      </c>
      <c r="T25" s="0" t="n">
        <v>18.06429</v>
      </c>
      <c r="U25" s="0" t="n">
        <v>17.4614</v>
      </c>
      <c r="V25" s="0" t="n">
        <v>16.18397</v>
      </c>
      <c r="W25" s="0" t="n">
        <v>15.61082</v>
      </c>
      <c r="X25" s="0" t="n">
        <v>17.39808</v>
      </c>
      <c r="Y25" s="0" t="n">
        <v>15.2811</v>
      </c>
      <c r="Z25" s="0" t="n">
        <v>15.6103</v>
      </c>
      <c r="AA25" s="0" t="n">
        <v>16.17245</v>
      </c>
      <c r="AB25" s="0" t="n">
        <v>16.9208</v>
      </c>
      <c r="AC25" s="0" t="n">
        <v>15.80577</v>
      </c>
      <c r="AD25" s="0" t="n">
        <v>15.01341</v>
      </c>
      <c r="AE25" s="0" t="n">
        <v>6</v>
      </c>
      <c r="AF25" s="0" t="n">
        <v>6</v>
      </c>
      <c r="AG25" s="0" t="n">
        <v>6</v>
      </c>
      <c r="AH25" s="0" t="n">
        <v>24.8</v>
      </c>
      <c r="AI25" s="0" t="n">
        <v>24.8</v>
      </c>
      <c r="AJ25" s="0" t="n">
        <v>24.8</v>
      </c>
      <c r="AK25" s="0" t="n">
        <v>38.087</v>
      </c>
      <c r="AL25" s="0" t="n">
        <v>0</v>
      </c>
      <c r="AM25" s="0" t="n">
        <v>18.737</v>
      </c>
      <c r="AN25" s="0" t="n">
        <v>6247600</v>
      </c>
      <c r="AO25" s="0" t="n">
        <v>21</v>
      </c>
      <c r="AP25" s="0" t="s">
        <v>156</v>
      </c>
      <c r="AQ25" s="0" t="s">
        <v>156</v>
      </c>
      <c r="AR25" s="0" t="s">
        <v>155</v>
      </c>
      <c r="AU25" s="0" t="n">
        <v>88</v>
      </c>
    </row>
    <row r="26" customFormat="false" ht="15" hidden="false" customHeight="false" outlineLevel="0" collapsed="false">
      <c r="A26" s="0" t="s">
        <v>161</v>
      </c>
      <c r="B26" s="0" t="s">
        <v>159</v>
      </c>
      <c r="C26" s="0" t="s">
        <v>160</v>
      </c>
      <c r="D26" s="0" t="n">
        <v>15.03391</v>
      </c>
      <c r="E26" s="0" t="n">
        <v>16.89676</v>
      </c>
      <c r="F26" s="0" t="n">
        <v>15.35416</v>
      </c>
      <c r="G26" s="0" t="n">
        <v>13.59322</v>
      </c>
      <c r="H26" s="0" t="n">
        <v>16.60091</v>
      </c>
      <c r="I26" s="0" t="n">
        <v>15.79736</v>
      </c>
      <c r="J26" s="0" t="n">
        <v>15.60226</v>
      </c>
      <c r="K26" s="0" t="n">
        <v>16.10928</v>
      </c>
      <c r="L26" s="0" t="n">
        <v>12.14114</v>
      </c>
      <c r="M26" s="0" t="n">
        <v>16.56764</v>
      </c>
      <c r="N26" s="0" t="n">
        <v>17.47359</v>
      </c>
      <c r="O26" s="0" t="n">
        <v>16.26984</v>
      </c>
      <c r="P26" s="0" t="n">
        <v>16.56385</v>
      </c>
      <c r="Q26" s="0" t="n">
        <v>15.01899</v>
      </c>
      <c r="R26" s="0" t="n">
        <v>16.38093</v>
      </c>
      <c r="S26" s="0" t="n">
        <v>16.40163</v>
      </c>
      <c r="T26" s="0" t="n">
        <v>16.85757</v>
      </c>
      <c r="U26" s="0" t="n">
        <v>16.51032</v>
      </c>
      <c r="V26" s="0" t="n">
        <v>16.7349</v>
      </c>
      <c r="W26" s="0" t="n">
        <v>16.10852</v>
      </c>
      <c r="X26" s="0" t="n">
        <v>15.92003</v>
      </c>
      <c r="Y26" s="0" t="n">
        <v>16.25344</v>
      </c>
      <c r="Z26" s="0" t="n">
        <v>15.77895</v>
      </c>
      <c r="AA26" s="0" t="n">
        <v>17.24079</v>
      </c>
      <c r="AB26" s="0" t="n">
        <v>17.32895</v>
      </c>
      <c r="AC26" s="0" t="n">
        <v>15.79847</v>
      </c>
      <c r="AD26" s="0" t="n">
        <v>16.8825</v>
      </c>
      <c r="AE26" s="0" t="n">
        <v>4</v>
      </c>
      <c r="AF26" s="0" t="n">
        <v>4</v>
      </c>
      <c r="AG26" s="0" t="n">
        <v>4</v>
      </c>
      <c r="AH26" s="0" t="n">
        <v>21.2</v>
      </c>
      <c r="AI26" s="0" t="n">
        <v>21.2</v>
      </c>
      <c r="AJ26" s="0" t="n">
        <v>21.2</v>
      </c>
      <c r="AK26" s="0" t="n">
        <v>31.677</v>
      </c>
      <c r="AL26" s="0" t="n">
        <v>0</v>
      </c>
      <c r="AM26" s="0" t="n">
        <v>4.4228</v>
      </c>
      <c r="AN26" s="0" t="n">
        <v>3104800</v>
      </c>
      <c r="AO26" s="0" t="n">
        <v>15</v>
      </c>
      <c r="AP26" s="0" t="s">
        <v>159</v>
      </c>
      <c r="AQ26" s="0" t="s">
        <v>159</v>
      </c>
      <c r="AR26" s="0" t="s">
        <v>135</v>
      </c>
      <c r="AU26" s="0" t="n">
        <v>89</v>
      </c>
    </row>
    <row r="27" customFormat="false" ht="15" hidden="false" customHeight="false" outlineLevel="0" collapsed="false">
      <c r="A27" s="0" t="s">
        <v>165</v>
      </c>
      <c r="B27" s="0" t="s">
        <v>163</v>
      </c>
      <c r="C27" s="0" t="s">
        <v>164</v>
      </c>
      <c r="D27" s="0" t="n">
        <v>16.04367</v>
      </c>
      <c r="E27" s="0" t="n">
        <v>16.79538</v>
      </c>
      <c r="F27" s="0" t="n">
        <v>16.03704</v>
      </c>
      <c r="G27" s="0" t="n">
        <v>14.91625</v>
      </c>
      <c r="H27" s="0" t="n">
        <v>15.95374</v>
      </c>
      <c r="I27" s="0" t="n">
        <v>15.72353</v>
      </c>
      <c r="J27" s="0" t="n">
        <v>16.4533</v>
      </c>
      <c r="K27" s="0" t="n">
        <v>16.57538</v>
      </c>
      <c r="L27" s="0" t="n">
        <v>16.01097</v>
      </c>
      <c r="M27" s="0" t="n">
        <v>15.06214</v>
      </c>
      <c r="N27" s="0" t="n">
        <v>16.56501</v>
      </c>
      <c r="O27" s="0" t="n">
        <v>16.9547</v>
      </c>
      <c r="P27" s="0" t="n">
        <v>16.56139</v>
      </c>
      <c r="Q27" s="0" t="n">
        <v>15.62051</v>
      </c>
      <c r="R27" s="0" t="n">
        <v>17.50789</v>
      </c>
      <c r="S27" s="0" t="n">
        <v>17.71196</v>
      </c>
      <c r="T27" s="0" t="n">
        <v>16.93549</v>
      </c>
      <c r="U27" s="0" t="n">
        <v>16.43788</v>
      </c>
      <c r="V27" s="0" t="n">
        <v>16.52257</v>
      </c>
      <c r="W27" s="0" t="n">
        <v>16.40241</v>
      </c>
      <c r="X27" s="0" t="n">
        <v>15.62827</v>
      </c>
      <c r="Y27" s="0" t="n">
        <v>12.58949</v>
      </c>
      <c r="Z27" s="0" t="n">
        <v>16.32119</v>
      </c>
      <c r="AA27" s="0" t="n">
        <v>17.12212</v>
      </c>
      <c r="AB27" s="0" t="n">
        <v>16.73886</v>
      </c>
      <c r="AC27" s="0" t="n">
        <v>16.22865</v>
      </c>
      <c r="AD27" s="0" t="n">
        <v>18.3413</v>
      </c>
      <c r="AE27" s="0" t="n">
        <v>5</v>
      </c>
      <c r="AF27" s="0" t="n">
        <v>5</v>
      </c>
      <c r="AG27" s="0" t="n">
        <v>5</v>
      </c>
      <c r="AH27" s="0" t="n">
        <v>42.6</v>
      </c>
      <c r="AI27" s="0" t="n">
        <v>42.6</v>
      </c>
      <c r="AJ27" s="0" t="n">
        <v>42.6</v>
      </c>
      <c r="AK27" s="0" t="n">
        <v>21.253</v>
      </c>
      <c r="AL27" s="0" t="n">
        <v>0</v>
      </c>
      <c r="AM27" s="0" t="n">
        <v>4.5837</v>
      </c>
      <c r="AN27" s="0" t="n">
        <v>3549100</v>
      </c>
      <c r="AO27" s="0" t="n">
        <v>10</v>
      </c>
      <c r="AP27" s="0" t="s">
        <v>162</v>
      </c>
      <c r="AQ27" s="0" t="s">
        <v>163</v>
      </c>
      <c r="AR27" s="0" t="s">
        <v>87</v>
      </c>
      <c r="AU27" s="0" t="n">
        <v>91</v>
      </c>
    </row>
    <row r="28" customFormat="false" ht="15" hidden="false" customHeight="false" outlineLevel="0" collapsed="false">
      <c r="A28" s="0" t="s">
        <v>169</v>
      </c>
      <c r="B28" s="0" t="s">
        <v>167</v>
      </c>
      <c r="C28" s="0" t="s">
        <v>168</v>
      </c>
      <c r="D28" s="0" t="n">
        <v>22.21428</v>
      </c>
      <c r="E28" s="0" t="n">
        <v>22.40561</v>
      </c>
      <c r="F28" s="0" t="n">
        <v>22.72013</v>
      </c>
      <c r="G28" s="0" t="n">
        <v>21.51369</v>
      </c>
      <c r="H28" s="0" t="n">
        <v>23.07303</v>
      </c>
      <c r="I28" s="0" t="n">
        <v>23.27498</v>
      </c>
      <c r="J28" s="0" t="n">
        <v>22.08631</v>
      </c>
      <c r="K28" s="0" t="n">
        <v>22.95911</v>
      </c>
      <c r="L28" s="0" t="n">
        <v>22.91322</v>
      </c>
      <c r="M28" s="0" t="n">
        <v>21.46069</v>
      </c>
      <c r="N28" s="0" t="n">
        <v>22.6003</v>
      </c>
      <c r="O28" s="0" t="n">
        <v>22.95395</v>
      </c>
      <c r="P28" s="0" t="n">
        <v>23.96429</v>
      </c>
      <c r="Q28" s="0" t="n">
        <v>22.6992</v>
      </c>
      <c r="R28" s="0" t="n">
        <v>21.98812</v>
      </c>
      <c r="S28" s="0" t="n">
        <v>22.71125</v>
      </c>
      <c r="T28" s="0" t="n">
        <v>22.51735</v>
      </c>
      <c r="U28" s="0" t="n">
        <v>22.76067</v>
      </c>
      <c r="V28" s="0" t="n">
        <v>22.56658</v>
      </c>
      <c r="W28" s="0" t="n">
        <v>22.47764</v>
      </c>
      <c r="X28" s="0" t="n">
        <v>23.24965</v>
      </c>
      <c r="Y28" s="0" t="n">
        <v>23.22587</v>
      </c>
      <c r="Z28" s="0" t="n">
        <v>21.92636</v>
      </c>
      <c r="AA28" s="0" t="n">
        <v>22.54347</v>
      </c>
      <c r="AB28" s="0" t="n">
        <v>22.75664</v>
      </c>
      <c r="AC28" s="0" t="n">
        <v>22.30299</v>
      </c>
      <c r="AD28" s="0" t="n">
        <v>22.73202</v>
      </c>
      <c r="AE28" s="0" t="n">
        <v>44</v>
      </c>
      <c r="AF28" s="0" t="n">
        <v>44</v>
      </c>
      <c r="AG28" s="0" t="n">
        <v>3</v>
      </c>
      <c r="AH28" s="0" t="n">
        <v>56.5</v>
      </c>
      <c r="AI28" s="0" t="n">
        <v>56.5</v>
      </c>
      <c r="AJ28" s="0" t="n">
        <v>5</v>
      </c>
      <c r="AK28" s="0" t="n">
        <v>122.2</v>
      </c>
      <c r="AL28" s="0" t="n">
        <v>0</v>
      </c>
      <c r="AM28" s="0" t="n">
        <v>323.31</v>
      </c>
      <c r="AN28" s="0" t="n">
        <v>271910000</v>
      </c>
      <c r="AO28" s="0" t="n">
        <v>450</v>
      </c>
      <c r="AP28" s="0" t="s">
        <v>166</v>
      </c>
      <c r="AQ28" s="0" t="s">
        <v>167</v>
      </c>
      <c r="AR28" s="0" t="s">
        <v>170</v>
      </c>
      <c r="AS28" s="0" t="s">
        <v>171</v>
      </c>
      <c r="AT28" s="0" t="s">
        <v>172</v>
      </c>
      <c r="AU28" s="0" t="n">
        <v>92</v>
      </c>
    </row>
    <row r="29" customFormat="false" ht="15" hidden="false" customHeight="false" outlineLevel="0" collapsed="false">
      <c r="A29" s="0" t="s">
        <v>176</v>
      </c>
      <c r="B29" s="0" t="s">
        <v>174</v>
      </c>
      <c r="C29" s="0" t="s">
        <v>175</v>
      </c>
      <c r="D29" s="0" t="n">
        <v>20.1893</v>
      </c>
      <c r="E29" s="0" t="n">
        <v>21.1031</v>
      </c>
      <c r="F29" s="0" t="n">
        <v>22.07988</v>
      </c>
      <c r="G29" s="0" t="n">
        <v>20.16103</v>
      </c>
      <c r="H29" s="0" t="n">
        <v>20.12578</v>
      </c>
      <c r="I29" s="0" t="n">
        <v>20.8762</v>
      </c>
      <c r="J29" s="0" t="n">
        <v>20.2948</v>
      </c>
      <c r="K29" s="0" t="n">
        <v>20.96902</v>
      </c>
      <c r="L29" s="0" t="n">
        <v>21.16956</v>
      </c>
      <c r="M29" s="0" t="n">
        <v>21.28726</v>
      </c>
      <c r="N29" s="0" t="n">
        <v>20.71331</v>
      </c>
      <c r="O29" s="0" t="n">
        <v>20.98565</v>
      </c>
      <c r="P29" s="0" t="n">
        <v>20.89711</v>
      </c>
      <c r="Q29" s="0" t="n">
        <v>22.28876</v>
      </c>
      <c r="R29" s="0" t="n">
        <v>21.11667</v>
      </c>
      <c r="S29" s="0" t="n">
        <v>20.3705</v>
      </c>
      <c r="T29" s="0" t="n">
        <v>20.73793</v>
      </c>
      <c r="U29" s="0" t="n">
        <v>21.11642</v>
      </c>
      <c r="V29" s="0" t="n">
        <v>20.67805</v>
      </c>
      <c r="W29" s="0" t="n">
        <v>20.63848</v>
      </c>
      <c r="X29" s="0" t="n">
        <v>21.66371</v>
      </c>
      <c r="Y29" s="0" t="n">
        <v>20.97456</v>
      </c>
      <c r="Z29" s="0" t="n">
        <v>21.29855</v>
      </c>
      <c r="AA29" s="0" t="n">
        <v>21.32036</v>
      </c>
      <c r="AB29" s="0" t="n">
        <v>21.40145</v>
      </c>
      <c r="AC29" s="0" t="n">
        <v>21.31761</v>
      </c>
      <c r="AD29" s="0" t="n">
        <v>21.23199</v>
      </c>
      <c r="AE29" s="0" t="n">
        <v>24</v>
      </c>
      <c r="AF29" s="0" t="n">
        <v>24</v>
      </c>
      <c r="AG29" s="0" t="n">
        <v>24</v>
      </c>
      <c r="AH29" s="0" t="n">
        <v>46.3</v>
      </c>
      <c r="AI29" s="0" t="n">
        <v>46.3</v>
      </c>
      <c r="AJ29" s="0" t="n">
        <v>46.3</v>
      </c>
      <c r="AK29" s="0" t="n">
        <v>70.036</v>
      </c>
      <c r="AL29" s="0" t="n">
        <v>0</v>
      </c>
      <c r="AM29" s="0" t="n">
        <v>215.49</v>
      </c>
      <c r="AN29" s="0" t="n">
        <v>82943000</v>
      </c>
      <c r="AO29" s="0" t="n">
        <v>160</v>
      </c>
      <c r="AP29" s="0" t="s">
        <v>173</v>
      </c>
      <c r="AQ29" s="0" t="s">
        <v>174</v>
      </c>
      <c r="AR29" s="0" t="s">
        <v>177</v>
      </c>
      <c r="AS29" s="0" t="n">
        <v>44</v>
      </c>
      <c r="AT29" s="0" t="n">
        <v>585</v>
      </c>
      <c r="AU29" s="0" t="n">
        <v>93</v>
      </c>
    </row>
    <row r="30" customFormat="false" ht="15" hidden="false" customHeight="false" outlineLevel="0" collapsed="false">
      <c r="A30" s="0" t="s">
        <v>181</v>
      </c>
      <c r="B30" s="0" t="s">
        <v>179</v>
      </c>
      <c r="C30" s="0" t="s">
        <v>180</v>
      </c>
      <c r="D30" s="0" t="n">
        <v>23.58532</v>
      </c>
      <c r="E30" s="0" t="n">
        <v>23.53362</v>
      </c>
      <c r="F30" s="0" t="n">
        <v>23.59651</v>
      </c>
      <c r="G30" s="0" t="n">
        <v>23.84221</v>
      </c>
      <c r="H30" s="0" t="n">
        <v>23.31645</v>
      </c>
      <c r="I30" s="0" t="n">
        <v>22.49644</v>
      </c>
      <c r="J30" s="0" t="n">
        <v>23.87549</v>
      </c>
      <c r="K30" s="0" t="n">
        <v>23.47172</v>
      </c>
      <c r="L30" s="0" t="n">
        <v>23.56221</v>
      </c>
      <c r="M30" s="0" t="n">
        <v>24.53996</v>
      </c>
      <c r="N30" s="0" t="n">
        <v>23.6319</v>
      </c>
      <c r="O30" s="0" t="n">
        <v>24.33525</v>
      </c>
      <c r="P30" s="0" t="n">
        <v>22.97085</v>
      </c>
      <c r="Q30" s="0" t="n">
        <v>22.08725</v>
      </c>
      <c r="R30" s="0" t="n">
        <v>23.92678</v>
      </c>
      <c r="S30" s="0" t="n">
        <v>23.96023</v>
      </c>
      <c r="T30" s="0" t="n">
        <v>22.65456</v>
      </c>
      <c r="U30" s="0" t="n">
        <v>23.7965</v>
      </c>
      <c r="V30" s="0" t="n">
        <v>24.20195</v>
      </c>
      <c r="W30" s="0" t="n">
        <v>23.77113</v>
      </c>
      <c r="X30" s="0" t="n">
        <v>25.8235</v>
      </c>
      <c r="Y30" s="0" t="n">
        <v>25.93373</v>
      </c>
      <c r="Z30" s="0" t="n">
        <v>23.73624</v>
      </c>
      <c r="AA30" s="0" t="n">
        <v>23.6659</v>
      </c>
      <c r="AB30" s="0" t="n">
        <v>24.2292</v>
      </c>
      <c r="AC30" s="0" t="n">
        <v>23.70588</v>
      </c>
      <c r="AD30" s="0" t="n">
        <v>23.50628</v>
      </c>
      <c r="AE30" s="0" t="n">
        <v>27</v>
      </c>
      <c r="AF30" s="0" t="n">
        <v>27</v>
      </c>
      <c r="AG30" s="0" t="n">
        <v>15</v>
      </c>
      <c r="AH30" s="0" t="n">
        <v>64.5</v>
      </c>
      <c r="AI30" s="0" t="n">
        <v>64.5</v>
      </c>
      <c r="AJ30" s="0" t="n">
        <v>44.8</v>
      </c>
      <c r="AK30" s="0" t="n">
        <v>45.205</v>
      </c>
      <c r="AL30" s="0" t="n">
        <v>0</v>
      </c>
      <c r="AM30" s="0" t="n">
        <v>323.31</v>
      </c>
      <c r="AN30" s="0" t="n">
        <v>753740000</v>
      </c>
      <c r="AO30" s="0" t="n">
        <v>624</v>
      </c>
      <c r="AP30" s="0" t="s">
        <v>178</v>
      </c>
      <c r="AQ30" s="0" t="s">
        <v>179</v>
      </c>
      <c r="AR30" s="0" t="s">
        <v>182</v>
      </c>
      <c r="AS30" s="0" t="s">
        <v>183</v>
      </c>
      <c r="AT30" s="0" t="s">
        <v>184</v>
      </c>
      <c r="AU30" s="0" t="n">
        <v>94</v>
      </c>
    </row>
    <row r="31" customFormat="false" ht="15" hidden="false" customHeight="false" outlineLevel="0" collapsed="false">
      <c r="A31" s="0" t="s">
        <v>188</v>
      </c>
      <c r="B31" s="0" t="s">
        <v>186</v>
      </c>
      <c r="C31" s="0" t="s">
        <v>187</v>
      </c>
      <c r="D31" s="0" t="n">
        <v>18.71482</v>
      </c>
      <c r="E31" s="0" t="n">
        <v>18.62325</v>
      </c>
      <c r="F31" s="0" t="n">
        <v>20.45503</v>
      </c>
      <c r="G31" s="0" t="n">
        <v>18.82258</v>
      </c>
      <c r="H31" s="0" t="n">
        <v>18.92164</v>
      </c>
      <c r="I31" s="0" t="n">
        <v>19.92687</v>
      </c>
      <c r="J31" s="0" t="n">
        <v>18.66518</v>
      </c>
      <c r="K31" s="0" t="n">
        <v>19.01789</v>
      </c>
      <c r="L31" s="0" t="n">
        <v>21.06986</v>
      </c>
      <c r="M31" s="0" t="n">
        <v>19.72066</v>
      </c>
      <c r="N31" s="0" t="n">
        <v>18.51368</v>
      </c>
      <c r="O31" s="0" t="n">
        <v>18.14818</v>
      </c>
      <c r="P31" s="0" t="n">
        <v>19.94678</v>
      </c>
      <c r="Q31" s="0" t="n">
        <v>19.09244</v>
      </c>
      <c r="R31" s="0" t="n">
        <v>18.1335</v>
      </c>
      <c r="S31" s="0" t="n">
        <v>19.05632</v>
      </c>
      <c r="T31" s="0" t="n">
        <v>18.76636</v>
      </c>
      <c r="U31" s="0" t="n">
        <v>19.80958</v>
      </c>
      <c r="V31" s="0" t="n">
        <v>19.13611</v>
      </c>
      <c r="W31" s="0" t="n">
        <v>19.81774</v>
      </c>
      <c r="X31" s="0" t="n">
        <v>20.2105</v>
      </c>
      <c r="Y31" s="0" t="n">
        <v>18.67097</v>
      </c>
      <c r="Z31" s="0" t="n">
        <v>20.26671</v>
      </c>
      <c r="AA31" s="0" t="n">
        <v>20.35434</v>
      </c>
      <c r="AB31" s="0" t="n">
        <v>20.16582</v>
      </c>
      <c r="AC31" s="0" t="n">
        <v>20.26408</v>
      </c>
      <c r="AD31" s="0" t="n">
        <v>18.9611</v>
      </c>
      <c r="AE31" s="0" t="n">
        <v>18</v>
      </c>
      <c r="AF31" s="0" t="n">
        <v>6</v>
      </c>
      <c r="AG31" s="0" t="n">
        <v>6</v>
      </c>
      <c r="AH31" s="0" t="n">
        <v>53.7</v>
      </c>
      <c r="AI31" s="0" t="n">
        <v>28.2</v>
      </c>
      <c r="AJ31" s="0" t="n">
        <v>28.2</v>
      </c>
      <c r="AK31" s="0" t="n">
        <v>39.029</v>
      </c>
      <c r="AL31" s="0" t="n">
        <v>0</v>
      </c>
      <c r="AM31" s="0" t="n">
        <v>157.34</v>
      </c>
      <c r="AN31" s="0" t="n">
        <v>27431000</v>
      </c>
      <c r="AO31" s="0" t="n">
        <v>108</v>
      </c>
      <c r="AP31" s="0" t="s">
        <v>185</v>
      </c>
      <c r="AQ31" s="0" t="s">
        <v>186</v>
      </c>
      <c r="AR31" s="0" t="s">
        <v>189</v>
      </c>
      <c r="AS31" s="0" t="s">
        <v>190</v>
      </c>
      <c r="AT31" s="0" t="s">
        <v>191</v>
      </c>
      <c r="AU31" s="0" t="n">
        <v>95</v>
      </c>
    </row>
    <row r="32" customFormat="false" ht="15" hidden="false" customHeight="false" outlineLevel="0" collapsed="false">
      <c r="A32" s="0" t="s">
        <v>195</v>
      </c>
      <c r="B32" s="0" t="s">
        <v>193</v>
      </c>
      <c r="C32" s="0" t="s">
        <v>194</v>
      </c>
      <c r="D32" s="0" t="n">
        <v>16.20409</v>
      </c>
      <c r="E32" s="0" t="n">
        <v>15.35086</v>
      </c>
      <c r="F32" s="0" t="n">
        <v>15.84793</v>
      </c>
      <c r="G32" s="0" t="n">
        <v>16.37081</v>
      </c>
      <c r="H32" s="0" t="n">
        <v>13.62984</v>
      </c>
      <c r="I32" s="0" t="n">
        <v>16.69629</v>
      </c>
      <c r="J32" s="0" t="n">
        <v>17.04666</v>
      </c>
      <c r="K32" s="0" t="n">
        <v>13.78114</v>
      </c>
      <c r="L32" s="0" t="n">
        <v>16.51212</v>
      </c>
      <c r="M32" s="0" t="n">
        <v>16.13515</v>
      </c>
      <c r="N32" s="0" t="n">
        <v>17.20631</v>
      </c>
      <c r="O32" s="0" t="n">
        <v>15.52169</v>
      </c>
      <c r="P32" s="0" t="n">
        <v>13.52408</v>
      </c>
      <c r="Q32" s="0" t="n">
        <v>16.63268</v>
      </c>
      <c r="R32" s="0" t="n">
        <v>17.54404</v>
      </c>
      <c r="S32" s="0" t="n">
        <v>14.06327</v>
      </c>
      <c r="T32" s="0" t="n">
        <v>13.95829</v>
      </c>
      <c r="U32" s="0" t="n">
        <v>13.73779</v>
      </c>
      <c r="V32" s="0" t="n">
        <v>16.69152</v>
      </c>
      <c r="W32" s="0" t="n">
        <v>16.73105</v>
      </c>
      <c r="X32" s="0" t="n">
        <v>17.25276</v>
      </c>
      <c r="Y32" s="0" t="n">
        <v>16.57935</v>
      </c>
      <c r="Z32" s="0" t="n">
        <v>13.51815</v>
      </c>
      <c r="AA32" s="0" t="n">
        <v>17.87622</v>
      </c>
      <c r="AB32" s="0" t="n">
        <v>14.00867</v>
      </c>
      <c r="AC32" s="0" t="n">
        <v>17.57792</v>
      </c>
      <c r="AD32" s="0" t="n">
        <v>16.93226</v>
      </c>
      <c r="AE32" s="0" t="n">
        <v>6</v>
      </c>
      <c r="AF32" s="0" t="n">
        <v>6</v>
      </c>
      <c r="AG32" s="0" t="n">
        <v>6</v>
      </c>
      <c r="AH32" s="0" t="n">
        <v>16.4</v>
      </c>
      <c r="AI32" s="0" t="n">
        <v>16.4</v>
      </c>
      <c r="AJ32" s="0" t="n">
        <v>16.4</v>
      </c>
      <c r="AK32" s="0" t="n">
        <v>54.731</v>
      </c>
      <c r="AL32" s="0" t="n">
        <v>0</v>
      </c>
      <c r="AM32" s="0" t="n">
        <v>11.623</v>
      </c>
      <c r="AN32" s="0" t="n">
        <v>3908000</v>
      </c>
      <c r="AO32" s="0" t="n">
        <v>30</v>
      </c>
      <c r="AP32" s="0" t="s">
        <v>192</v>
      </c>
      <c r="AQ32" s="0" t="s">
        <v>193</v>
      </c>
      <c r="AR32" s="0" t="s">
        <v>155</v>
      </c>
      <c r="AU32" s="0" t="n">
        <v>97</v>
      </c>
    </row>
    <row r="33" customFormat="false" ht="15" hidden="false" customHeight="false" outlineLevel="0" collapsed="false">
      <c r="A33" s="0" t="s">
        <v>199</v>
      </c>
      <c r="B33" s="0" t="s">
        <v>197</v>
      </c>
      <c r="C33" s="0" t="s">
        <v>198</v>
      </c>
      <c r="D33" s="0" t="n">
        <v>20.18689</v>
      </c>
      <c r="E33" s="0" t="n">
        <v>20.28093</v>
      </c>
      <c r="F33" s="0" t="n">
        <v>20.92636</v>
      </c>
      <c r="G33" s="0" t="n">
        <v>21.07274</v>
      </c>
      <c r="H33" s="0" t="n">
        <v>20.99238</v>
      </c>
      <c r="I33" s="0" t="n">
        <v>20.69243</v>
      </c>
      <c r="J33" s="0" t="n">
        <v>20.86423</v>
      </c>
      <c r="K33" s="0" t="n">
        <v>20.9631</v>
      </c>
      <c r="L33" s="0" t="n">
        <v>20.74829</v>
      </c>
      <c r="M33" s="0" t="n">
        <v>20.61935</v>
      </c>
      <c r="N33" s="0" t="n">
        <v>19.59905</v>
      </c>
      <c r="O33" s="0" t="n">
        <v>23.40432</v>
      </c>
      <c r="P33" s="0" t="n">
        <v>21.2577</v>
      </c>
      <c r="Q33" s="0" t="n">
        <v>19.00561</v>
      </c>
      <c r="R33" s="0" t="n">
        <v>23.01052</v>
      </c>
      <c r="S33" s="0" t="n">
        <v>20.58893</v>
      </c>
      <c r="T33" s="0" t="n">
        <v>21.10476</v>
      </c>
      <c r="U33" s="0" t="n">
        <v>20.37888</v>
      </c>
      <c r="V33" s="0" t="n">
        <v>20.76903</v>
      </c>
      <c r="W33" s="0" t="n">
        <v>20.12187</v>
      </c>
      <c r="X33" s="0" t="n">
        <v>21.98905</v>
      </c>
      <c r="Y33" s="0" t="n">
        <v>21.27503</v>
      </c>
      <c r="Z33" s="0" t="n">
        <v>21.5015</v>
      </c>
      <c r="AA33" s="0" t="n">
        <v>21.47001</v>
      </c>
      <c r="AB33" s="0" t="n">
        <v>21.37857</v>
      </c>
      <c r="AC33" s="0" t="n">
        <v>21.37798</v>
      </c>
      <c r="AD33" s="0" t="n">
        <v>21.17792</v>
      </c>
      <c r="AE33" s="0" t="n">
        <v>31</v>
      </c>
      <c r="AF33" s="0" t="n">
        <v>31</v>
      </c>
      <c r="AG33" s="0" t="n">
        <v>30</v>
      </c>
      <c r="AH33" s="0" t="n">
        <v>52.3</v>
      </c>
      <c r="AI33" s="0" t="n">
        <v>52.3</v>
      </c>
      <c r="AJ33" s="0" t="n">
        <v>50.5</v>
      </c>
      <c r="AK33" s="0" t="n">
        <v>90.568</v>
      </c>
      <c r="AL33" s="0" t="n">
        <v>0</v>
      </c>
      <c r="AM33" s="0" t="n">
        <v>323.31</v>
      </c>
      <c r="AN33" s="0" t="n">
        <v>102230000</v>
      </c>
      <c r="AO33" s="0" t="n">
        <v>142</v>
      </c>
      <c r="AP33" s="0" t="s">
        <v>196</v>
      </c>
      <c r="AQ33" s="0" t="s">
        <v>197</v>
      </c>
      <c r="AR33" s="0" t="s">
        <v>200</v>
      </c>
      <c r="AS33" s="0" t="s">
        <v>201</v>
      </c>
      <c r="AT33" s="0" t="s">
        <v>202</v>
      </c>
      <c r="AU33" s="0" t="n">
        <v>98</v>
      </c>
    </row>
    <row r="34" customFormat="false" ht="15" hidden="false" customHeight="false" outlineLevel="0" collapsed="false">
      <c r="A34" s="0" t="s">
        <v>205</v>
      </c>
      <c r="B34" s="0" t="s">
        <v>203</v>
      </c>
      <c r="C34" s="0" t="s">
        <v>204</v>
      </c>
      <c r="D34" s="0" t="n">
        <v>18.3742</v>
      </c>
      <c r="E34" s="0" t="n">
        <v>18.99604</v>
      </c>
      <c r="F34" s="0" t="n">
        <v>15.38323</v>
      </c>
      <c r="G34" s="0" t="n">
        <v>18.3599</v>
      </c>
      <c r="H34" s="0" t="n">
        <v>18.52187</v>
      </c>
      <c r="I34" s="0" t="n">
        <v>17.78788</v>
      </c>
      <c r="J34" s="0" t="n">
        <v>17.03843</v>
      </c>
      <c r="K34" s="0" t="n">
        <v>18.71085</v>
      </c>
      <c r="L34" s="0" t="n">
        <v>17.60292</v>
      </c>
      <c r="M34" s="0" t="n">
        <v>17.43843</v>
      </c>
      <c r="N34" s="0" t="n">
        <v>17.23698</v>
      </c>
      <c r="O34" s="0" t="n">
        <v>16.93192</v>
      </c>
      <c r="P34" s="0" t="n">
        <v>18.57766</v>
      </c>
      <c r="Q34" s="0" t="n">
        <v>18.49946</v>
      </c>
      <c r="R34" s="0" t="n">
        <v>16.30804</v>
      </c>
      <c r="S34" s="0" t="n">
        <v>17.86942</v>
      </c>
      <c r="T34" s="0" t="n">
        <v>19.16271</v>
      </c>
      <c r="U34" s="0" t="n">
        <v>17.81284</v>
      </c>
      <c r="V34" s="0" t="n">
        <v>18.20256</v>
      </c>
      <c r="W34" s="0" t="n">
        <v>17.7714</v>
      </c>
      <c r="X34" s="0" t="n">
        <v>19.23093</v>
      </c>
      <c r="Y34" s="0" t="n">
        <v>17.86653</v>
      </c>
      <c r="Z34" s="0" t="n">
        <v>18.134</v>
      </c>
      <c r="AA34" s="0" t="n">
        <v>19.17809</v>
      </c>
      <c r="AB34" s="0" t="n">
        <v>18.42366</v>
      </c>
      <c r="AC34" s="0" t="n">
        <v>18.63803</v>
      </c>
      <c r="AD34" s="0" t="n">
        <v>19.16391</v>
      </c>
      <c r="AE34" s="0" t="n">
        <v>7</v>
      </c>
      <c r="AF34" s="0" t="n">
        <v>7</v>
      </c>
      <c r="AG34" s="0" t="n">
        <v>7</v>
      </c>
      <c r="AH34" s="0" t="n">
        <v>17.6</v>
      </c>
      <c r="AI34" s="0" t="n">
        <v>17.6</v>
      </c>
      <c r="AJ34" s="0" t="n">
        <v>17.6</v>
      </c>
      <c r="AK34" s="0" t="n">
        <v>67.791</v>
      </c>
      <c r="AL34" s="0" t="n">
        <v>0</v>
      </c>
      <c r="AM34" s="0" t="n">
        <v>68.657</v>
      </c>
      <c r="AN34" s="0" t="n">
        <v>11219000</v>
      </c>
      <c r="AO34" s="0" t="n">
        <v>55</v>
      </c>
      <c r="AP34" s="0" t="s">
        <v>203</v>
      </c>
      <c r="AQ34" s="0" t="s">
        <v>203</v>
      </c>
      <c r="AR34" s="0" t="s">
        <v>150</v>
      </c>
      <c r="AU34" s="0" t="n">
        <v>99</v>
      </c>
    </row>
    <row r="35" customFormat="false" ht="15" hidden="false" customHeight="false" outlineLevel="0" collapsed="false">
      <c r="A35" s="0" t="s">
        <v>209</v>
      </c>
      <c r="B35" s="0" t="s">
        <v>207</v>
      </c>
      <c r="C35" s="0" t="s">
        <v>208</v>
      </c>
      <c r="D35" s="0" t="n">
        <v>20.38469</v>
      </c>
      <c r="E35" s="0" t="n">
        <v>20.34906</v>
      </c>
      <c r="F35" s="0" t="n">
        <v>21.1045</v>
      </c>
      <c r="G35" s="0" t="n">
        <v>20.23888</v>
      </c>
      <c r="H35" s="0" t="n">
        <v>20.6747</v>
      </c>
      <c r="I35" s="0" t="n">
        <v>20.55618</v>
      </c>
      <c r="J35" s="0" t="n">
        <v>20.46971</v>
      </c>
      <c r="K35" s="0" t="n">
        <v>20.87433</v>
      </c>
      <c r="L35" s="0" t="n">
        <v>21.43365</v>
      </c>
      <c r="M35" s="0" t="n">
        <v>20.7376</v>
      </c>
      <c r="N35" s="0" t="n">
        <v>16.87171</v>
      </c>
      <c r="O35" s="0" t="n">
        <v>19.78668</v>
      </c>
      <c r="P35" s="0" t="n">
        <v>20.32828</v>
      </c>
      <c r="Q35" s="0" t="n">
        <v>21.94203</v>
      </c>
      <c r="R35" s="0" t="n">
        <v>20.6926</v>
      </c>
      <c r="S35" s="0" t="n">
        <v>20.07169</v>
      </c>
      <c r="T35" s="0" t="n">
        <v>20.78517</v>
      </c>
      <c r="U35" s="0" t="n">
        <v>20.72509</v>
      </c>
      <c r="V35" s="0" t="n">
        <v>20.64253</v>
      </c>
      <c r="W35" s="0" t="n">
        <v>20.84491</v>
      </c>
      <c r="X35" s="0" t="n">
        <v>21.05019</v>
      </c>
      <c r="Y35" s="0" t="n">
        <v>20.47833</v>
      </c>
      <c r="Z35" s="0" t="n">
        <v>21.41823</v>
      </c>
      <c r="AA35" s="0" t="n">
        <v>20.98545</v>
      </c>
      <c r="AB35" s="0" t="n">
        <v>21.12528</v>
      </c>
      <c r="AC35" s="0" t="n">
        <v>20.94421</v>
      </c>
      <c r="AD35" s="0" t="n">
        <v>20.60277</v>
      </c>
      <c r="AE35" s="0" t="n">
        <v>18</v>
      </c>
      <c r="AF35" s="0" t="n">
        <v>18</v>
      </c>
      <c r="AG35" s="0" t="n">
        <v>18</v>
      </c>
      <c r="AH35" s="0" t="n">
        <v>42.7</v>
      </c>
      <c r="AI35" s="0" t="n">
        <v>42.7</v>
      </c>
      <c r="AJ35" s="0" t="n">
        <v>42.7</v>
      </c>
      <c r="AK35" s="0" t="n">
        <v>52.602</v>
      </c>
      <c r="AL35" s="0" t="n">
        <v>0</v>
      </c>
      <c r="AM35" s="0" t="n">
        <v>112.7</v>
      </c>
      <c r="AN35" s="0" t="n">
        <v>66816000</v>
      </c>
      <c r="AO35" s="0" t="n">
        <v>275</v>
      </c>
      <c r="AP35" s="0" t="s">
        <v>206</v>
      </c>
      <c r="AQ35" s="0" t="s">
        <v>207</v>
      </c>
      <c r="AR35" s="0" t="s">
        <v>69</v>
      </c>
      <c r="AS35" s="0" t="s">
        <v>210</v>
      </c>
      <c r="AT35" s="0" t="s">
        <v>211</v>
      </c>
      <c r="AU35" s="0" t="n">
        <v>100</v>
      </c>
    </row>
    <row r="36" customFormat="false" ht="15" hidden="false" customHeight="false" outlineLevel="0" collapsed="false">
      <c r="A36" s="0" t="s">
        <v>214</v>
      </c>
      <c r="B36" s="0" t="s">
        <v>212</v>
      </c>
      <c r="C36" s="0" t="s">
        <v>213</v>
      </c>
      <c r="D36" s="0" t="n">
        <v>23.89097</v>
      </c>
      <c r="E36" s="0" t="n">
        <v>23.85785</v>
      </c>
      <c r="F36" s="0" t="n">
        <v>23.6826</v>
      </c>
      <c r="G36" s="0" t="n">
        <v>24.42137</v>
      </c>
      <c r="H36" s="0" t="n">
        <v>23.84479</v>
      </c>
      <c r="I36" s="0" t="n">
        <v>24.52486</v>
      </c>
      <c r="J36" s="0" t="n">
        <v>23.16967</v>
      </c>
      <c r="K36" s="0" t="n">
        <v>24.16576</v>
      </c>
      <c r="L36" s="0" t="n">
        <v>24.37716</v>
      </c>
      <c r="M36" s="0" t="n">
        <v>24.56587</v>
      </c>
      <c r="N36" s="0" t="n">
        <v>24.21045</v>
      </c>
      <c r="O36" s="0" t="n">
        <v>23.38232</v>
      </c>
      <c r="P36" s="0" t="n">
        <v>24.58898</v>
      </c>
      <c r="Q36" s="0" t="n">
        <v>22.08686</v>
      </c>
      <c r="R36" s="0" t="n">
        <v>23.11775</v>
      </c>
      <c r="S36" s="0" t="n">
        <v>23.32937</v>
      </c>
      <c r="T36" s="0" t="n">
        <v>24.00779</v>
      </c>
      <c r="U36" s="0" t="n">
        <v>24.02775</v>
      </c>
      <c r="V36" s="0" t="n">
        <v>23.76517</v>
      </c>
      <c r="W36" s="0" t="n">
        <v>23.69869</v>
      </c>
      <c r="X36" s="0" t="n">
        <v>25.17798</v>
      </c>
      <c r="Y36" s="0" t="n">
        <v>25.41806</v>
      </c>
      <c r="Z36" s="0" t="n">
        <v>24.16928</v>
      </c>
      <c r="AA36" s="0" t="n">
        <v>23.9771</v>
      </c>
      <c r="AB36" s="0" t="n">
        <v>24.55104</v>
      </c>
      <c r="AC36" s="0" t="n">
        <v>24.27327</v>
      </c>
      <c r="AD36" s="0" t="n">
        <v>24.03078</v>
      </c>
      <c r="AE36" s="0" t="n">
        <v>25</v>
      </c>
      <c r="AF36" s="0" t="n">
        <v>25</v>
      </c>
      <c r="AG36" s="0" t="n">
        <v>3</v>
      </c>
      <c r="AH36" s="0" t="n">
        <v>58.6</v>
      </c>
      <c r="AI36" s="0" t="n">
        <v>58.6</v>
      </c>
      <c r="AJ36" s="0" t="n">
        <v>5.7</v>
      </c>
      <c r="AK36" s="0" t="n">
        <v>46.736</v>
      </c>
      <c r="AL36" s="0" t="n">
        <v>0</v>
      </c>
      <c r="AM36" s="0" t="n">
        <v>323.31</v>
      </c>
      <c r="AN36" s="0" t="n">
        <v>764300000</v>
      </c>
      <c r="AO36" s="0" t="n">
        <v>1224</v>
      </c>
      <c r="AP36" s="0" t="s">
        <v>212</v>
      </c>
      <c r="AQ36" s="0" t="s">
        <v>212</v>
      </c>
      <c r="AR36" s="0" t="s">
        <v>121</v>
      </c>
      <c r="AS36" s="0" t="s">
        <v>215</v>
      </c>
      <c r="AT36" s="0" t="s">
        <v>216</v>
      </c>
      <c r="AU36" s="0" t="n">
        <v>101</v>
      </c>
    </row>
    <row r="37" customFormat="false" ht="15" hidden="false" customHeight="false" outlineLevel="0" collapsed="false">
      <c r="A37" s="0" t="s">
        <v>220</v>
      </c>
      <c r="B37" s="0" t="s">
        <v>218</v>
      </c>
      <c r="C37" s="0" t="s">
        <v>219</v>
      </c>
      <c r="D37" s="0" t="n">
        <v>21.24516</v>
      </c>
      <c r="E37" s="0" t="n">
        <v>21.07673</v>
      </c>
      <c r="F37" s="0" t="n">
        <v>21.26917</v>
      </c>
      <c r="G37" s="0" t="n">
        <v>20.79241</v>
      </c>
      <c r="H37" s="0" t="n">
        <v>21.66497</v>
      </c>
      <c r="I37" s="0" t="n">
        <v>21.93002</v>
      </c>
      <c r="J37" s="0" t="n">
        <v>20.56365</v>
      </c>
      <c r="K37" s="0" t="n">
        <v>21.26453</v>
      </c>
      <c r="L37" s="0" t="n">
        <v>21.7866</v>
      </c>
      <c r="M37" s="0" t="n">
        <v>20.97365</v>
      </c>
      <c r="N37" s="0" t="n">
        <v>21.01093</v>
      </c>
      <c r="O37" s="0" t="n">
        <v>20.7679</v>
      </c>
      <c r="P37" s="0" t="n">
        <v>21.75479</v>
      </c>
      <c r="Q37" s="0" t="n">
        <v>21.93171</v>
      </c>
      <c r="R37" s="0" t="n">
        <v>20.78437</v>
      </c>
      <c r="S37" s="0" t="n">
        <v>21.26276</v>
      </c>
      <c r="T37" s="0" t="n">
        <v>21.73855</v>
      </c>
      <c r="U37" s="0" t="n">
        <v>21.51278</v>
      </c>
      <c r="V37" s="0" t="n">
        <v>21.42864</v>
      </c>
      <c r="W37" s="0" t="n">
        <v>21.36586</v>
      </c>
      <c r="X37" s="0" t="n">
        <v>22.48289</v>
      </c>
      <c r="Y37" s="0" t="n">
        <v>20.65918</v>
      </c>
      <c r="Z37" s="0" t="n">
        <v>21.64852</v>
      </c>
      <c r="AA37" s="0" t="n">
        <v>21.4938</v>
      </c>
      <c r="AB37" s="0" t="n">
        <v>22.09552</v>
      </c>
      <c r="AC37" s="0" t="n">
        <v>21.82213</v>
      </c>
      <c r="AD37" s="0" t="n">
        <v>21.22535</v>
      </c>
      <c r="AE37" s="0" t="n">
        <v>16</v>
      </c>
      <c r="AF37" s="0" t="n">
        <v>16</v>
      </c>
      <c r="AG37" s="0" t="n">
        <v>16</v>
      </c>
      <c r="AH37" s="0" t="n">
        <v>41.6</v>
      </c>
      <c r="AI37" s="0" t="n">
        <v>41.6</v>
      </c>
      <c r="AJ37" s="0" t="n">
        <v>41.6</v>
      </c>
      <c r="AK37" s="0" t="n">
        <v>47.65</v>
      </c>
      <c r="AL37" s="0" t="n">
        <v>0</v>
      </c>
      <c r="AM37" s="0" t="n">
        <v>323.31</v>
      </c>
      <c r="AN37" s="0" t="n">
        <v>113060000</v>
      </c>
      <c r="AO37" s="0" t="n">
        <v>300</v>
      </c>
      <c r="AP37" s="0" t="s">
        <v>217</v>
      </c>
      <c r="AQ37" s="0" t="s">
        <v>218</v>
      </c>
      <c r="AR37" s="0" t="s">
        <v>110</v>
      </c>
      <c r="AS37" s="0" t="s">
        <v>221</v>
      </c>
      <c r="AT37" s="0" t="s">
        <v>222</v>
      </c>
      <c r="AU37" s="0" t="n">
        <v>102</v>
      </c>
    </row>
    <row r="38" customFormat="false" ht="15" hidden="false" customHeight="false" outlineLevel="0" collapsed="false">
      <c r="A38" s="0" t="s">
        <v>225</v>
      </c>
      <c r="B38" s="0" t="s">
        <v>223</v>
      </c>
      <c r="C38" s="0" t="s">
        <v>224</v>
      </c>
      <c r="D38" s="0" t="n">
        <v>19.5303</v>
      </c>
      <c r="E38" s="0" t="n">
        <v>19.27646</v>
      </c>
      <c r="F38" s="0" t="n">
        <v>19.43011</v>
      </c>
      <c r="G38" s="0" t="n">
        <v>19.61788</v>
      </c>
      <c r="H38" s="0" t="n">
        <v>20.26442</v>
      </c>
      <c r="I38" s="0" t="n">
        <v>20.31241</v>
      </c>
      <c r="J38" s="0" t="n">
        <v>18.91386</v>
      </c>
      <c r="K38" s="0" t="n">
        <v>18.94941</v>
      </c>
      <c r="L38" s="0" t="n">
        <v>20.05192</v>
      </c>
      <c r="M38" s="0" t="n">
        <v>20.4053</v>
      </c>
      <c r="N38" s="0" t="n">
        <v>20.72966</v>
      </c>
      <c r="O38" s="0" t="n">
        <v>20.16411</v>
      </c>
      <c r="P38" s="0" t="n">
        <v>20.99058</v>
      </c>
      <c r="Q38" s="0" t="n">
        <v>20.81925</v>
      </c>
      <c r="R38" s="0" t="n">
        <v>19.3656</v>
      </c>
      <c r="S38" s="0" t="n">
        <v>19.35322</v>
      </c>
      <c r="T38" s="0" t="n">
        <v>19.96508</v>
      </c>
      <c r="U38" s="0" t="n">
        <v>19.18549</v>
      </c>
      <c r="V38" s="0" t="n">
        <v>19.47937</v>
      </c>
      <c r="W38" s="0" t="n">
        <v>19.79222</v>
      </c>
      <c r="X38" s="0" t="n">
        <v>19.54557</v>
      </c>
      <c r="Y38" s="0" t="n">
        <v>19.87048</v>
      </c>
      <c r="Z38" s="0" t="n">
        <v>19.72169</v>
      </c>
      <c r="AA38" s="0" t="n">
        <v>19.65901</v>
      </c>
      <c r="AB38" s="0" t="n">
        <v>19.74018</v>
      </c>
      <c r="AC38" s="0" t="n">
        <v>19.59689</v>
      </c>
      <c r="AD38" s="0" t="n">
        <v>19.31104</v>
      </c>
      <c r="AE38" s="0" t="n">
        <v>9</v>
      </c>
      <c r="AF38" s="0" t="n">
        <v>9</v>
      </c>
      <c r="AG38" s="0" t="n">
        <v>9</v>
      </c>
      <c r="AH38" s="0" t="n">
        <v>25.2</v>
      </c>
      <c r="AI38" s="0" t="n">
        <v>25.2</v>
      </c>
      <c r="AJ38" s="0" t="n">
        <v>25.2</v>
      </c>
      <c r="AK38" s="0" t="n">
        <v>53.154</v>
      </c>
      <c r="AL38" s="0" t="n">
        <v>0</v>
      </c>
      <c r="AM38" s="0" t="n">
        <v>20.128</v>
      </c>
      <c r="AN38" s="0" t="n">
        <v>35455000</v>
      </c>
      <c r="AO38" s="0" t="n">
        <v>134</v>
      </c>
      <c r="AP38" s="0" t="s">
        <v>223</v>
      </c>
      <c r="AQ38" s="0" t="s">
        <v>223</v>
      </c>
      <c r="AR38" s="0" t="s">
        <v>226</v>
      </c>
      <c r="AU38" s="0" t="n">
        <v>103</v>
      </c>
    </row>
    <row r="39" customFormat="false" ht="15" hidden="false" customHeight="false" outlineLevel="0" collapsed="false">
      <c r="A39" s="0" t="s">
        <v>230</v>
      </c>
      <c r="B39" s="0" t="s">
        <v>228</v>
      </c>
      <c r="C39" s="0" t="s">
        <v>229</v>
      </c>
      <c r="D39" s="0" t="n">
        <v>25.27714</v>
      </c>
      <c r="E39" s="0" t="n">
        <v>24.26928</v>
      </c>
      <c r="F39" s="0" t="n">
        <v>23.98928</v>
      </c>
      <c r="G39" s="0" t="n">
        <v>25.54203</v>
      </c>
      <c r="H39" s="0" t="n">
        <v>25.37196</v>
      </c>
      <c r="I39" s="0" t="n">
        <v>25.4679</v>
      </c>
      <c r="J39" s="0" t="n">
        <v>24.8992</v>
      </c>
      <c r="K39" s="0" t="n">
        <v>25.22085</v>
      </c>
      <c r="L39" s="0" t="n">
        <v>24.7888</v>
      </c>
      <c r="M39" s="0" t="n">
        <v>25.14705</v>
      </c>
      <c r="N39" s="0" t="n">
        <v>23.51881</v>
      </c>
      <c r="O39" s="0" t="n">
        <v>23.90021</v>
      </c>
      <c r="P39" s="0" t="n">
        <v>25.30769</v>
      </c>
      <c r="Q39" s="0" t="n">
        <v>25.03695</v>
      </c>
      <c r="R39" s="0" t="n">
        <v>24.44335</v>
      </c>
      <c r="S39" s="0" t="n">
        <v>24.68923</v>
      </c>
      <c r="T39" s="0" t="n">
        <v>25.35803</v>
      </c>
      <c r="U39" s="0" t="n">
        <v>24.79119</v>
      </c>
      <c r="V39" s="0" t="n">
        <v>24.23513</v>
      </c>
      <c r="W39" s="0" t="n">
        <v>24.35797</v>
      </c>
      <c r="X39" s="0" t="n">
        <v>25.24659</v>
      </c>
      <c r="Y39" s="0" t="n">
        <v>24.99239</v>
      </c>
      <c r="Z39" s="0" t="n">
        <v>24.63915</v>
      </c>
      <c r="AA39" s="0" t="n">
        <v>24.73128</v>
      </c>
      <c r="AB39" s="0" t="n">
        <v>24.93863</v>
      </c>
      <c r="AC39" s="0" t="n">
        <v>25.46712</v>
      </c>
      <c r="AD39" s="0" t="n">
        <v>24.62439</v>
      </c>
      <c r="AE39" s="0" t="n">
        <v>70</v>
      </c>
      <c r="AF39" s="0" t="n">
        <v>70</v>
      </c>
      <c r="AG39" s="0" t="n">
        <v>62</v>
      </c>
      <c r="AH39" s="0" t="n">
        <v>62.5</v>
      </c>
      <c r="AI39" s="0" t="n">
        <v>62.5</v>
      </c>
      <c r="AJ39" s="0" t="n">
        <v>55.8</v>
      </c>
      <c r="AK39" s="0" t="n">
        <v>163.29</v>
      </c>
      <c r="AL39" s="0" t="n">
        <v>0</v>
      </c>
      <c r="AM39" s="0" t="n">
        <v>323.31</v>
      </c>
      <c r="AN39" s="0" t="n">
        <v>1258000000</v>
      </c>
      <c r="AO39" s="0" t="n">
        <v>2037</v>
      </c>
      <c r="AP39" s="0" t="s">
        <v>227</v>
      </c>
      <c r="AQ39" s="0" t="s">
        <v>228</v>
      </c>
      <c r="AR39" s="0" t="s">
        <v>231</v>
      </c>
      <c r="AS39" s="0" t="s">
        <v>232</v>
      </c>
      <c r="AT39" s="0" t="s">
        <v>233</v>
      </c>
      <c r="AU39" s="0" t="n">
        <v>104</v>
      </c>
    </row>
    <row r="40" customFormat="false" ht="15" hidden="false" customHeight="false" outlineLevel="0" collapsed="false">
      <c r="A40" s="0" t="s">
        <v>237</v>
      </c>
      <c r="B40" s="0" t="s">
        <v>235</v>
      </c>
      <c r="C40" s="0" t="s">
        <v>236</v>
      </c>
      <c r="D40" s="0" t="n">
        <v>25.01682</v>
      </c>
      <c r="E40" s="0" t="n">
        <v>24.64169</v>
      </c>
      <c r="F40" s="0" t="n">
        <v>25.23531</v>
      </c>
      <c r="G40" s="0" t="n">
        <v>24.79595</v>
      </c>
      <c r="H40" s="0" t="n">
        <v>25.22781</v>
      </c>
      <c r="I40" s="0" t="n">
        <v>24.70097</v>
      </c>
      <c r="J40" s="0" t="n">
        <v>24.49521</v>
      </c>
      <c r="K40" s="0" t="n">
        <v>25.09511</v>
      </c>
      <c r="L40" s="0" t="n">
        <v>25.12364</v>
      </c>
      <c r="M40" s="0" t="n">
        <v>24.98763</v>
      </c>
      <c r="N40" s="0" t="n">
        <v>24.57259</v>
      </c>
      <c r="O40" s="0" t="n">
        <v>24.32457</v>
      </c>
      <c r="P40" s="0" t="n">
        <v>25.19746</v>
      </c>
      <c r="Q40" s="0" t="n">
        <v>24.90196</v>
      </c>
      <c r="R40" s="0" t="n">
        <v>24.38745</v>
      </c>
      <c r="S40" s="0" t="n">
        <v>24.88274</v>
      </c>
      <c r="T40" s="0" t="n">
        <v>25.09362</v>
      </c>
      <c r="U40" s="0" t="n">
        <v>24.92918</v>
      </c>
      <c r="V40" s="0" t="n">
        <v>25.27909</v>
      </c>
      <c r="W40" s="0" t="n">
        <v>24.82046</v>
      </c>
      <c r="X40" s="0" t="n">
        <v>25.59898</v>
      </c>
      <c r="Y40" s="0" t="n">
        <v>25.08091</v>
      </c>
      <c r="Z40" s="0" t="n">
        <v>24.88409</v>
      </c>
      <c r="AA40" s="0" t="n">
        <v>24.8715</v>
      </c>
      <c r="AB40" s="0" t="n">
        <v>25.01423</v>
      </c>
      <c r="AC40" s="0" t="n">
        <v>25.22839</v>
      </c>
      <c r="AD40" s="0" t="n">
        <v>25.51746</v>
      </c>
      <c r="AE40" s="0" t="n">
        <v>99</v>
      </c>
      <c r="AF40" s="0" t="n">
        <v>99</v>
      </c>
      <c r="AG40" s="0" t="n">
        <v>91</v>
      </c>
      <c r="AH40" s="0" t="n">
        <v>70.4</v>
      </c>
      <c r="AI40" s="0" t="n">
        <v>70.4</v>
      </c>
      <c r="AJ40" s="0" t="n">
        <v>66.9</v>
      </c>
      <c r="AK40" s="0" t="n">
        <v>187.15</v>
      </c>
      <c r="AL40" s="0" t="n">
        <v>0</v>
      </c>
      <c r="AM40" s="0" t="n">
        <v>323.31</v>
      </c>
      <c r="AN40" s="0" t="n">
        <v>1315900000</v>
      </c>
      <c r="AO40" s="0" t="n">
        <v>2613</v>
      </c>
      <c r="AP40" s="0" t="s">
        <v>234</v>
      </c>
      <c r="AQ40" s="0" t="s">
        <v>235</v>
      </c>
      <c r="AR40" s="0" t="s">
        <v>238</v>
      </c>
      <c r="AS40" s="0" t="s">
        <v>239</v>
      </c>
      <c r="AT40" s="0" t="s">
        <v>240</v>
      </c>
      <c r="AU40" s="0" t="n">
        <v>105</v>
      </c>
    </row>
    <row r="41" customFormat="false" ht="15" hidden="false" customHeight="false" outlineLevel="0" collapsed="false">
      <c r="A41" s="0" t="s">
        <v>244</v>
      </c>
      <c r="B41" s="0" t="s">
        <v>242</v>
      </c>
      <c r="C41" s="0" t="s">
        <v>243</v>
      </c>
      <c r="D41" s="0" t="n">
        <v>19.02553</v>
      </c>
      <c r="E41" s="0" t="n">
        <v>19.2012</v>
      </c>
      <c r="F41" s="0" t="n">
        <v>17.84365</v>
      </c>
      <c r="G41" s="0" t="n">
        <v>18.89492</v>
      </c>
      <c r="H41" s="0" t="n">
        <v>19.85707</v>
      </c>
      <c r="I41" s="0" t="n">
        <v>20.1706</v>
      </c>
      <c r="J41" s="0" t="n">
        <v>19.03424</v>
      </c>
      <c r="K41" s="0" t="n">
        <v>19.72883</v>
      </c>
      <c r="L41" s="0" t="n">
        <v>19.50967</v>
      </c>
      <c r="M41" s="0" t="n">
        <v>20.01958</v>
      </c>
      <c r="N41" s="0" t="n">
        <v>16.8541</v>
      </c>
      <c r="O41" s="0" t="n">
        <v>18.52631</v>
      </c>
      <c r="P41" s="0" t="n">
        <v>20.16938</v>
      </c>
      <c r="Q41" s="0" t="n">
        <v>19.98371</v>
      </c>
      <c r="R41" s="0" t="n">
        <v>19.61477</v>
      </c>
      <c r="S41" s="0" t="n">
        <v>19.36899</v>
      </c>
      <c r="T41" s="0" t="n">
        <v>19.32312</v>
      </c>
      <c r="U41" s="0" t="n">
        <v>18.89871</v>
      </c>
      <c r="V41" s="0" t="n">
        <v>19.33152</v>
      </c>
      <c r="W41" s="0" t="n">
        <v>19.48146</v>
      </c>
      <c r="X41" s="0" t="n">
        <v>19.81856</v>
      </c>
      <c r="Y41" s="0" t="n">
        <v>19.05582</v>
      </c>
      <c r="Z41" s="0" t="n">
        <v>19.56306</v>
      </c>
      <c r="AA41" s="0" t="n">
        <v>18.63282</v>
      </c>
      <c r="AB41" s="0" t="n">
        <v>20.31374</v>
      </c>
      <c r="AC41" s="0" t="n">
        <v>19.36828</v>
      </c>
      <c r="AD41" s="0" t="n">
        <v>19.98982</v>
      </c>
      <c r="AE41" s="0" t="n">
        <v>28</v>
      </c>
      <c r="AF41" s="0" t="n">
        <v>28</v>
      </c>
      <c r="AG41" s="0" t="n">
        <v>28</v>
      </c>
      <c r="AH41" s="0" t="n">
        <v>26</v>
      </c>
      <c r="AI41" s="0" t="n">
        <v>26</v>
      </c>
      <c r="AJ41" s="0" t="n">
        <v>26</v>
      </c>
      <c r="AK41" s="0" t="n">
        <v>188.3</v>
      </c>
      <c r="AL41" s="0" t="n">
        <v>0</v>
      </c>
      <c r="AM41" s="0" t="n">
        <v>42.576</v>
      </c>
      <c r="AN41" s="0" t="n">
        <v>26878000</v>
      </c>
      <c r="AO41" s="0" t="n">
        <v>83</v>
      </c>
      <c r="AP41" s="0" t="s">
        <v>241</v>
      </c>
      <c r="AQ41" s="0" t="s">
        <v>242</v>
      </c>
      <c r="AR41" s="0" t="s">
        <v>245</v>
      </c>
      <c r="AU41" s="0" t="n">
        <v>106</v>
      </c>
    </row>
    <row r="42" customFormat="false" ht="15" hidden="false" customHeight="false" outlineLevel="0" collapsed="false">
      <c r="A42" s="0" t="s">
        <v>249</v>
      </c>
      <c r="B42" s="0" t="s">
        <v>247</v>
      </c>
      <c r="C42" s="0" t="s">
        <v>248</v>
      </c>
      <c r="D42" s="0" t="n">
        <v>20.54246</v>
      </c>
      <c r="E42" s="0" t="n">
        <v>20.40686</v>
      </c>
      <c r="F42" s="0" t="n">
        <v>21.06789</v>
      </c>
      <c r="G42" s="0" t="n">
        <v>20.84506</v>
      </c>
      <c r="H42" s="0" t="n">
        <v>21.19003</v>
      </c>
      <c r="I42" s="0" t="n">
        <v>21.0034</v>
      </c>
      <c r="J42" s="0" t="n">
        <v>21.07829</v>
      </c>
      <c r="K42" s="0" t="n">
        <v>20.59314</v>
      </c>
      <c r="L42" s="0" t="n">
        <v>20.35132</v>
      </c>
      <c r="M42" s="0" t="n">
        <v>21.07437</v>
      </c>
      <c r="N42" s="0" t="n">
        <v>20.7437</v>
      </c>
      <c r="O42" s="0" t="n">
        <v>21.42209</v>
      </c>
      <c r="P42" s="0" t="n">
        <v>20.89067</v>
      </c>
      <c r="Q42" s="0" t="n">
        <v>22.89628</v>
      </c>
      <c r="R42" s="0" t="n">
        <v>21.43919</v>
      </c>
      <c r="S42" s="0" t="n">
        <v>20.3978</v>
      </c>
      <c r="T42" s="0" t="n">
        <v>20.70083</v>
      </c>
      <c r="U42" s="0" t="n">
        <v>20.19629</v>
      </c>
      <c r="V42" s="0" t="n">
        <v>20.43665</v>
      </c>
      <c r="W42" s="0" t="n">
        <v>21.03322</v>
      </c>
      <c r="X42" s="0" t="n">
        <v>20.58756</v>
      </c>
      <c r="Y42" s="0" t="n">
        <v>20.02972</v>
      </c>
      <c r="Z42" s="0" t="n">
        <v>20.87912</v>
      </c>
      <c r="AA42" s="0" t="n">
        <v>20.68398</v>
      </c>
      <c r="AB42" s="0" t="n">
        <v>20.66232</v>
      </c>
      <c r="AC42" s="0" t="n">
        <v>20.83445</v>
      </c>
      <c r="AD42" s="0" t="n">
        <v>20.64456</v>
      </c>
      <c r="AE42" s="0" t="n">
        <v>16</v>
      </c>
      <c r="AF42" s="0" t="n">
        <v>16</v>
      </c>
      <c r="AG42" s="0" t="n">
        <v>16</v>
      </c>
      <c r="AH42" s="0" t="n">
        <v>31.1</v>
      </c>
      <c r="AI42" s="0" t="n">
        <v>31.1</v>
      </c>
      <c r="AJ42" s="0" t="n">
        <v>31.1</v>
      </c>
      <c r="AK42" s="0" t="n">
        <v>71.957</v>
      </c>
      <c r="AL42" s="0" t="n">
        <v>0</v>
      </c>
      <c r="AM42" s="0" t="n">
        <v>90.724</v>
      </c>
      <c r="AN42" s="0" t="n">
        <v>73958000</v>
      </c>
      <c r="AO42" s="0" t="n">
        <v>134</v>
      </c>
      <c r="AP42" s="0" t="s">
        <v>246</v>
      </c>
      <c r="AQ42" s="0" t="s">
        <v>247</v>
      </c>
      <c r="AR42" s="0" t="s">
        <v>110</v>
      </c>
      <c r="AU42" s="0" t="n">
        <v>107</v>
      </c>
    </row>
    <row r="43" customFormat="false" ht="15" hidden="false" customHeight="false" outlineLevel="0" collapsed="false">
      <c r="A43" s="0" t="s">
        <v>252</v>
      </c>
      <c r="B43" s="0" t="s">
        <v>250</v>
      </c>
      <c r="C43" s="0" t="s">
        <v>251</v>
      </c>
      <c r="D43" s="0" t="n">
        <v>22.70068</v>
      </c>
      <c r="E43" s="0" t="n">
        <v>21.59541</v>
      </c>
      <c r="F43" s="0" t="n">
        <v>21.62912</v>
      </c>
      <c r="G43" s="0" t="n">
        <v>21.33107</v>
      </c>
      <c r="H43" s="0" t="n">
        <v>22.13486</v>
      </c>
      <c r="I43" s="0" t="n">
        <v>23.328</v>
      </c>
      <c r="J43" s="0" t="n">
        <v>21.96965</v>
      </c>
      <c r="K43" s="0" t="n">
        <v>22.10913</v>
      </c>
      <c r="L43" s="0" t="n">
        <v>22.57008</v>
      </c>
      <c r="M43" s="0" t="n">
        <v>22.52485</v>
      </c>
      <c r="N43" s="0" t="n">
        <v>21.93966</v>
      </c>
      <c r="O43" s="0" t="n">
        <v>21.22282</v>
      </c>
      <c r="P43" s="0" t="n">
        <v>22.12553</v>
      </c>
      <c r="Q43" s="0" t="n">
        <v>23.70398</v>
      </c>
      <c r="R43" s="0" t="n">
        <v>22.16205</v>
      </c>
      <c r="S43" s="0" t="n">
        <v>22.38903</v>
      </c>
      <c r="T43" s="0" t="n">
        <v>22.26106</v>
      </c>
      <c r="U43" s="0" t="n">
        <v>21.91681</v>
      </c>
      <c r="V43" s="0" t="n">
        <v>21.98252</v>
      </c>
      <c r="W43" s="0" t="n">
        <v>23.33456</v>
      </c>
      <c r="X43" s="0" t="n">
        <v>22.32031</v>
      </c>
      <c r="Y43" s="0" t="n">
        <v>22.92072</v>
      </c>
      <c r="Z43" s="0" t="n">
        <v>21.9545</v>
      </c>
      <c r="AA43" s="0" t="n">
        <v>22.14046</v>
      </c>
      <c r="AB43" s="0" t="n">
        <v>22.18386</v>
      </c>
      <c r="AC43" s="0" t="n">
        <v>22.54442</v>
      </c>
      <c r="AD43" s="0" t="n">
        <v>21.9369</v>
      </c>
      <c r="AE43" s="0" t="n">
        <v>6</v>
      </c>
      <c r="AF43" s="0" t="n">
        <v>6</v>
      </c>
      <c r="AG43" s="0" t="n">
        <v>6</v>
      </c>
      <c r="AH43" s="0" t="n">
        <v>79.4</v>
      </c>
      <c r="AI43" s="0" t="n">
        <v>79.4</v>
      </c>
      <c r="AJ43" s="0" t="n">
        <v>79.4</v>
      </c>
      <c r="AK43" s="0" t="n">
        <v>11.765</v>
      </c>
      <c r="AL43" s="0" t="n">
        <v>0</v>
      </c>
      <c r="AM43" s="0" t="n">
        <v>323.31</v>
      </c>
      <c r="AN43" s="0" t="n">
        <v>216740000</v>
      </c>
      <c r="AO43" s="0" t="n">
        <v>440</v>
      </c>
      <c r="AP43" s="0" t="s">
        <v>250</v>
      </c>
      <c r="AQ43" s="0" t="s">
        <v>250</v>
      </c>
      <c r="AR43" s="0" t="s">
        <v>155</v>
      </c>
      <c r="AU43" s="0" t="n">
        <v>119</v>
      </c>
    </row>
    <row r="44" customFormat="false" ht="15" hidden="false" customHeight="false" outlineLevel="0" collapsed="false">
      <c r="A44" s="0" t="s">
        <v>255</v>
      </c>
      <c r="B44" s="0" t="s">
        <v>253</v>
      </c>
      <c r="C44" s="0" t="s">
        <v>254</v>
      </c>
      <c r="D44" s="0" t="n">
        <v>23.0731</v>
      </c>
      <c r="E44" s="0" t="n">
        <v>22.89008</v>
      </c>
      <c r="F44" s="0" t="n">
        <v>21.99009</v>
      </c>
      <c r="G44" s="0" t="n">
        <v>22.39011</v>
      </c>
      <c r="H44" s="0" t="n">
        <v>23.16099</v>
      </c>
      <c r="I44" s="0" t="n">
        <v>24.56982</v>
      </c>
      <c r="J44" s="0" t="n">
        <v>23.38706</v>
      </c>
      <c r="K44" s="0" t="n">
        <v>22.87564</v>
      </c>
      <c r="L44" s="0" t="n">
        <v>23.12002</v>
      </c>
      <c r="M44" s="0" t="n">
        <v>24.16576</v>
      </c>
      <c r="N44" s="0" t="n">
        <v>22.72526</v>
      </c>
      <c r="O44" s="0" t="n">
        <v>23.18681</v>
      </c>
      <c r="P44" s="0" t="n">
        <v>22.96342</v>
      </c>
      <c r="Q44" s="0" t="n">
        <v>24.82614</v>
      </c>
      <c r="R44" s="0" t="n">
        <v>23.77896</v>
      </c>
      <c r="S44" s="0" t="n">
        <v>23.44316</v>
      </c>
      <c r="T44" s="0" t="n">
        <v>23.01081</v>
      </c>
      <c r="U44" s="0" t="n">
        <v>23.14327</v>
      </c>
      <c r="V44" s="0" t="n">
        <v>22.73103</v>
      </c>
      <c r="W44" s="0" t="n">
        <v>24.21571</v>
      </c>
      <c r="X44" s="0" t="n">
        <v>24.48763</v>
      </c>
      <c r="Y44" s="0" t="n">
        <v>22.48075</v>
      </c>
      <c r="Z44" s="0" t="n">
        <v>22.89671</v>
      </c>
      <c r="AA44" s="0" t="n">
        <v>23.13146</v>
      </c>
      <c r="AB44" s="0" t="n">
        <v>23.21211</v>
      </c>
      <c r="AC44" s="0" t="n">
        <v>23.69487</v>
      </c>
      <c r="AD44" s="0" t="n">
        <v>23.14436</v>
      </c>
      <c r="AE44" s="0" t="n">
        <v>16</v>
      </c>
      <c r="AF44" s="0" t="n">
        <v>16</v>
      </c>
      <c r="AG44" s="0" t="n">
        <v>6</v>
      </c>
      <c r="AH44" s="0" t="n">
        <v>60.6</v>
      </c>
      <c r="AI44" s="0" t="n">
        <v>60.6</v>
      </c>
      <c r="AJ44" s="0" t="n">
        <v>27.8</v>
      </c>
      <c r="AK44" s="0" t="n">
        <v>37.654</v>
      </c>
      <c r="AL44" s="0" t="n">
        <v>0</v>
      </c>
      <c r="AM44" s="0" t="n">
        <v>323.31</v>
      </c>
      <c r="AN44" s="0" t="n">
        <v>474490000</v>
      </c>
      <c r="AO44" s="0" t="n">
        <v>421</v>
      </c>
      <c r="AP44" s="0" t="s">
        <v>253</v>
      </c>
      <c r="AQ44" s="0" t="s">
        <v>253</v>
      </c>
      <c r="AR44" s="0" t="s">
        <v>110</v>
      </c>
      <c r="AS44" s="0" t="n">
        <v>11</v>
      </c>
      <c r="AT44" s="0" t="n">
        <v>314</v>
      </c>
      <c r="AU44" s="0" t="n">
        <v>120</v>
      </c>
    </row>
    <row r="45" customFormat="false" ht="15" hidden="false" customHeight="false" outlineLevel="0" collapsed="false">
      <c r="A45" s="0" t="s">
        <v>258</v>
      </c>
      <c r="B45" s="0" t="s">
        <v>256</v>
      </c>
      <c r="C45" s="0" t="s">
        <v>257</v>
      </c>
      <c r="D45" s="0" t="n">
        <v>24.96596</v>
      </c>
      <c r="E45" s="0" t="n">
        <v>24.09901</v>
      </c>
      <c r="F45" s="0" t="n">
        <v>24.81924</v>
      </c>
      <c r="G45" s="0" t="n">
        <v>24.01657</v>
      </c>
      <c r="H45" s="0" t="n">
        <v>24.51653</v>
      </c>
      <c r="I45" s="0" t="n">
        <v>24.61116</v>
      </c>
      <c r="J45" s="0" t="n">
        <v>24.2832</v>
      </c>
      <c r="K45" s="0" t="n">
        <v>24.3041</v>
      </c>
      <c r="L45" s="0" t="n">
        <v>24.93233</v>
      </c>
      <c r="M45" s="0" t="n">
        <v>24.19551</v>
      </c>
      <c r="N45" s="0" t="n">
        <v>24.56877</v>
      </c>
      <c r="O45" s="0" t="n">
        <v>24.19302</v>
      </c>
      <c r="P45" s="0" t="n">
        <v>24.11854</v>
      </c>
      <c r="Q45" s="0" t="n">
        <v>25.18854</v>
      </c>
      <c r="R45" s="0" t="n">
        <v>24.19528</v>
      </c>
      <c r="S45" s="0" t="n">
        <v>23.91296</v>
      </c>
      <c r="T45" s="0" t="n">
        <v>24.25335</v>
      </c>
      <c r="U45" s="0" t="n">
        <v>24.36713</v>
      </c>
      <c r="V45" s="0" t="n">
        <v>24.21756</v>
      </c>
      <c r="W45" s="0" t="n">
        <v>24.19272</v>
      </c>
      <c r="X45" s="0" t="n">
        <v>23.76871</v>
      </c>
      <c r="Y45" s="0" t="n">
        <v>24.34449</v>
      </c>
      <c r="Z45" s="0" t="n">
        <v>24.08221</v>
      </c>
      <c r="AA45" s="0" t="n">
        <v>24.13156</v>
      </c>
      <c r="AB45" s="0" t="n">
        <v>23.34597</v>
      </c>
      <c r="AC45" s="0" t="n">
        <v>24.21334</v>
      </c>
      <c r="AD45" s="0" t="n">
        <v>23.49558</v>
      </c>
      <c r="AE45" s="0" t="n">
        <v>28</v>
      </c>
      <c r="AF45" s="0" t="n">
        <v>28</v>
      </c>
      <c r="AG45" s="0" t="n">
        <v>27</v>
      </c>
      <c r="AH45" s="0" t="n">
        <v>77.9</v>
      </c>
      <c r="AI45" s="0" t="n">
        <v>77.9</v>
      </c>
      <c r="AJ45" s="0" t="n">
        <v>77.9</v>
      </c>
      <c r="AK45" s="0" t="n">
        <v>30.777</v>
      </c>
      <c r="AL45" s="0" t="n">
        <v>0</v>
      </c>
      <c r="AM45" s="0" t="n">
        <v>323.31</v>
      </c>
      <c r="AN45" s="0" t="n">
        <v>813230000</v>
      </c>
      <c r="AO45" s="0" t="n">
        <v>619</v>
      </c>
      <c r="AP45" s="0" t="s">
        <v>256</v>
      </c>
      <c r="AQ45" s="0" t="s">
        <v>256</v>
      </c>
      <c r="AR45" s="0" t="s">
        <v>245</v>
      </c>
      <c r="AS45" s="0" t="s">
        <v>259</v>
      </c>
      <c r="AT45" s="0" t="s">
        <v>260</v>
      </c>
      <c r="AU45" s="0" t="n">
        <v>122</v>
      </c>
    </row>
    <row r="46" customFormat="false" ht="15" hidden="false" customHeight="false" outlineLevel="0" collapsed="false">
      <c r="A46" s="0" t="s">
        <v>264</v>
      </c>
      <c r="B46" s="0" t="s">
        <v>262</v>
      </c>
      <c r="C46" s="0" t="s">
        <v>263</v>
      </c>
      <c r="D46" s="0" t="n">
        <v>18.31504</v>
      </c>
      <c r="E46" s="0" t="n">
        <v>20.07783</v>
      </c>
      <c r="F46" s="0" t="n">
        <v>17.49966</v>
      </c>
      <c r="G46" s="0" t="n">
        <v>19.1559</v>
      </c>
      <c r="H46" s="0" t="n">
        <v>18.97656</v>
      </c>
      <c r="I46" s="0" t="n">
        <v>19.77685</v>
      </c>
      <c r="J46" s="0" t="n">
        <v>20.19304</v>
      </c>
      <c r="K46" s="0" t="n">
        <v>18.53165</v>
      </c>
      <c r="L46" s="0" t="n">
        <v>18.81193</v>
      </c>
      <c r="M46" s="0" t="n">
        <v>19.28326</v>
      </c>
      <c r="N46" s="0" t="n">
        <v>16.58548</v>
      </c>
      <c r="O46" s="0" t="n">
        <v>20.17499</v>
      </c>
      <c r="P46" s="0" t="n">
        <v>17.88626</v>
      </c>
      <c r="Q46" s="0" t="n">
        <v>18.7341</v>
      </c>
      <c r="R46" s="0" t="n">
        <v>20.98447</v>
      </c>
      <c r="S46" s="0" t="n">
        <v>18.23776</v>
      </c>
      <c r="T46" s="0" t="n">
        <v>20.44748</v>
      </c>
      <c r="U46" s="0" t="n">
        <v>18.49306</v>
      </c>
      <c r="V46" s="0" t="n">
        <v>18.92486</v>
      </c>
      <c r="W46" s="0" t="n">
        <v>18.23271</v>
      </c>
      <c r="X46" s="0" t="n">
        <v>19.20034</v>
      </c>
      <c r="Y46" s="0" t="n">
        <v>19.44569</v>
      </c>
      <c r="Z46" s="0" t="n">
        <v>17.71579</v>
      </c>
      <c r="AA46" s="0" t="n">
        <v>18.41468</v>
      </c>
      <c r="AB46" s="0" t="n">
        <v>17.66456</v>
      </c>
      <c r="AC46" s="0" t="n">
        <v>18.62053</v>
      </c>
      <c r="AD46" s="0" t="n">
        <v>19.04634</v>
      </c>
      <c r="AE46" s="0" t="n">
        <v>12</v>
      </c>
      <c r="AF46" s="0" t="n">
        <v>12</v>
      </c>
      <c r="AG46" s="0" t="n">
        <v>12</v>
      </c>
      <c r="AH46" s="0" t="n">
        <v>47.3</v>
      </c>
      <c r="AI46" s="0" t="n">
        <v>47.3</v>
      </c>
      <c r="AJ46" s="0" t="n">
        <v>47.3</v>
      </c>
      <c r="AK46" s="0" t="n">
        <v>36.154</v>
      </c>
      <c r="AL46" s="0" t="n">
        <v>0</v>
      </c>
      <c r="AM46" s="0" t="n">
        <v>225.09</v>
      </c>
      <c r="AN46" s="0" t="n">
        <v>24472000</v>
      </c>
      <c r="AO46" s="0" t="n">
        <v>69</v>
      </c>
      <c r="AP46" s="0" t="s">
        <v>261</v>
      </c>
      <c r="AQ46" s="0" t="s">
        <v>262</v>
      </c>
      <c r="AR46" s="0" t="s">
        <v>140</v>
      </c>
      <c r="AS46" s="0" t="n">
        <v>76</v>
      </c>
      <c r="AT46" s="0" t="n">
        <v>126</v>
      </c>
      <c r="AU46" s="0" t="n">
        <v>123</v>
      </c>
    </row>
    <row r="47" customFormat="false" ht="15" hidden="false" customHeight="false" outlineLevel="0" collapsed="false">
      <c r="A47" s="0" t="s">
        <v>267</v>
      </c>
      <c r="B47" s="0" t="s">
        <v>265</v>
      </c>
      <c r="C47" s="0" t="s">
        <v>266</v>
      </c>
      <c r="D47" s="0" t="n">
        <v>22.98031</v>
      </c>
      <c r="E47" s="0" t="n">
        <v>21.90709</v>
      </c>
      <c r="F47" s="0" t="n">
        <v>24.07006</v>
      </c>
      <c r="G47" s="0" t="n">
        <v>23.03159</v>
      </c>
      <c r="H47" s="0" t="n">
        <v>23.10642</v>
      </c>
      <c r="I47" s="0" t="n">
        <v>22.70571</v>
      </c>
      <c r="J47" s="0" t="n">
        <v>23.16249</v>
      </c>
      <c r="K47" s="0" t="n">
        <v>22.8304</v>
      </c>
      <c r="L47" s="0" t="n">
        <v>22.5763</v>
      </c>
      <c r="M47" s="0" t="n">
        <v>21.65949</v>
      </c>
      <c r="N47" s="0" t="n">
        <v>19.82833</v>
      </c>
      <c r="O47" s="0" t="n">
        <v>19.97113</v>
      </c>
      <c r="P47" s="0" t="n">
        <v>22.89754</v>
      </c>
      <c r="Q47" s="0" t="n">
        <v>23.34001</v>
      </c>
      <c r="R47" s="0" t="n">
        <v>22.03043</v>
      </c>
      <c r="S47" s="0" t="n">
        <v>22.29972</v>
      </c>
      <c r="T47" s="0" t="n">
        <v>22.97661</v>
      </c>
      <c r="U47" s="0" t="n">
        <v>23.45864</v>
      </c>
      <c r="V47" s="0" t="n">
        <v>21.62489</v>
      </c>
      <c r="W47" s="0" t="n">
        <v>23.34692</v>
      </c>
      <c r="X47" s="0" t="n">
        <v>20.93524</v>
      </c>
      <c r="Y47" s="0" t="n">
        <v>19.40811</v>
      </c>
      <c r="Z47" s="0" t="n">
        <v>21.64042</v>
      </c>
      <c r="AA47" s="0" t="n">
        <v>21.53645</v>
      </c>
      <c r="AB47" s="0" t="n">
        <v>21.87335</v>
      </c>
      <c r="AC47" s="0" t="n">
        <v>20.96346</v>
      </c>
      <c r="AD47" s="0" t="n">
        <v>22.27807</v>
      </c>
      <c r="AE47" s="0" t="n">
        <v>7</v>
      </c>
      <c r="AF47" s="0" t="n">
        <v>7</v>
      </c>
      <c r="AG47" s="0" t="n">
        <v>7</v>
      </c>
      <c r="AH47" s="0" t="n">
        <v>51.1</v>
      </c>
      <c r="AI47" s="0" t="n">
        <v>51.1</v>
      </c>
      <c r="AJ47" s="0" t="n">
        <v>51.1</v>
      </c>
      <c r="AK47" s="0" t="n">
        <v>14.914</v>
      </c>
      <c r="AL47" s="0" t="n">
        <v>0</v>
      </c>
      <c r="AM47" s="0" t="n">
        <v>323.31</v>
      </c>
      <c r="AN47" s="0" t="n">
        <v>205730000</v>
      </c>
      <c r="AO47" s="0" t="n">
        <v>74</v>
      </c>
      <c r="AP47" s="0" t="s">
        <v>265</v>
      </c>
      <c r="AQ47" s="0" t="s">
        <v>265</v>
      </c>
      <c r="AR47" s="0" t="s">
        <v>150</v>
      </c>
      <c r="AU47" s="0" t="n">
        <v>124</v>
      </c>
    </row>
    <row r="48" customFormat="false" ht="15" hidden="false" customHeight="false" outlineLevel="0" collapsed="false">
      <c r="A48" s="0" t="s">
        <v>270</v>
      </c>
      <c r="B48" s="0" t="s">
        <v>268</v>
      </c>
      <c r="C48" s="0" t="s">
        <v>269</v>
      </c>
      <c r="D48" s="0" t="n">
        <v>16.24382</v>
      </c>
      <c r="E48" s="0" t="n">
        <v>17.14231</v>
      </c>
      <c r="F48" s="0" t="n">
        <v>15.76176</v>
      </c>
      <c r="G48" s="0" t="n">
        <v>17.30153</v>
      </c>
      <c r="H48" s="0" t="n">
        <v>17.00755</v>
      </c>
      <c r="I48" s="0" t="n">
        <v>17.28555</v>
      </c>
      <c r="J48" s="0" t="n">
        <v>16.3543</v>
      </c>
      <c r="K48" s="0" t="n">
        <v>16.70063</v>
      </c>
      <c r="L48" s="0" t="n">
        <v>15.83029</v>
      </c>
      <c r="M48" s="0" t="n">
        <v>18.2268</v>
      </c>
      <c r="N48" s="0" t="n">
        <v>17.75193</v>
      </c>
      <c r="O48" s="0" t="n">
        <v>18.32364</v>
      </c>
      <c r="P48" s="0" t="n">
        <v>16.63962</v>
      </c>
      <c r="Q48" s="0" t="n">
        <v>16.56577</v>
      </c>
      <c r="R48" s="0" t="n">
        <v>17.25248</v>
      </c>
      <c r="S48" s="0" t="n">
        <v>17.11085</v>
      </c>
      <c r="T48" s="0" t="n">
        <v>16.36035</v>
      </c>
      <c r="U48" s="0" t="n">
        <v>16.32214</v>
      </c>
      <c r="V48" s="0" t="n">
        <v>17.05494</v>
      </c>
      <c r="W48" s="0" t="n">
        <v>17.29634</v>
      </c>
      <c r="X48" s="0" t="n">
        <v>18.52573</v>
      </c>
      <c r="Y48" s="0" t="n">
        <v>17.77069</v>
      </c>
      <c r="Z48" s="0" t="n">
        <v>18.16074</v>
      </c>
      <c r="AA48" s="0" t="n">
        <v>18.12999</v>
      </c>
      <c r="AB48" s="0" t="n">
        <v>18.44107</v>
      </c>
      <c r="AC48" s="0" t="n">
        <v>17.22703</v>
      </c>
      <c r="AD48" s="0" t="n">
        <v>18.75418</v>
      </c>
      <c r="AE48" s="0" t="n">
        <v>6</v>
      </c>
      <c r="AF48" s="0" t="n">
        <v>6</v>
      </c>
      <c r="AG48" s="0" t="n">
        <v>6</v>
      </c>
      <c r="AH48" s="0" t="n">
        <v>29.1</v>
      </c>
      <c r="AI48" s="0" t="n">
        <v>29.1</v>
      </c>
      <c r="AJ48" s="0" t="n">
        <v>29.1</v>
      </c>
      <c r="AK48" s="0" t="n">
        <v>25.387</v>
      </c>
      <c r="AL48" s="0" t="n">
        <v>0</v>
      </c>
      <c r="AM48" s="0" t="n">
        <v>22.321</v>
      </c>
      <c r="AN48" s="0" t="n">
        <v>7538700</v>
      </c>
      <c r="AO48" s="0" t="n">
        <v>36</v>
      </c>
      <c r="AP48" s="0" t="s">
        <v>268</v>
      </c>
      <c r="AQ48" s="0" t="s">
        <v>268</v>
      </c>
      <c r="AR48" s="0" t="s">
        <v>155</v>
      </c>
      <c r="AU48" s="0" t="n">
        <v>126</v>
      </c>
    </row>
    <row r="49" customFormat="false" ht="15" hidden="false" customHeight="false" outlineLevel="0" collapsed="false">
      <c r="A49" s="0" t="s">
        <v>274</v>
      </c>
      <c r="B49" s="0" t="s">
        <v>272</v>
      </c>
      <c r="C49" s="0" t="s">
        <v>273</v>
      </c>
      <c r="D49" s="0" t="n">
        <v>18.45033</v>
      </c>
      <c r="E49" s="0" t="n">
        <v>17.59754</v>
      </c>
      <c r="F49" s="0" t="n">
        <v>19.78078</v>
      </c>
      <c r="G49" s="0" t="n">
        <v>18.60415</v>
      </c>
      <c r="H49" s="0" t="n">
        <v>18.79541</v>
      </c>
      <c r="I49" s="0" t="n">
        <v>19.7196</v>
      </c>
      <c r="J49" s="0" t="n">
        <v>18.76804</v>
      </c>
      <c r="K49" s="0" t="n">
        <v>18.92004</v>
      </c>
      <c r="L49" s="0" t="n">
        <v>18.65449</v>
      </c>
      <c r="M49" s="0" t="n">
        <v>19.13616</v>
      </c>
      <c r="N49" s="0" t="n">
        <v>17.81916</v>
      </c>
      <c r="O49" s="0" t="n">
        <v>18.62325</v>
      </c>
      <c r="P49" s="0" t="n">
        <v>18.44964</v>
      </c>
      <c r="Q49" s="0" t="n">
        <v>20.92143</v>
      </c>
      <c r="R49" s="0" t="n">
        <v>18.89235</v>
      </c>
      <c r="S49" s="0" t="n">
        <v>18.90027</v>
      </c>
      <c r="T49" s="0" t="n">
        <v>18.3673</v>
      </c>
      <c r="U49" s="0" t="n">
        <v>18.86701</v>
      </c>
      <c r="V49" s="0" t="n">
        <v>19.10771</v>
      </c>
      <c r="W49" s="0" t="n">
        <v>19.00906</v>
      </c>
      <c r="X49" s="0" t="n">
        <v>19.59368</v>
      </c>
      <c r="Y49" s="0" t="n">
        <v>18.18732</v>
      </c>
      <c r="Z49" s="0" t="n">
        <v>18.52917</v>
      </c>
      <c r="AA49" s="0" t="n">
        <v>18.83381</v>
      </c>
      <c r="AB49" s="0" t="n">
        <v>19.49203</v>
      </c>
      <c r="AC49" s="0" t="n">
        <v>18.40266</v>
      </c>
      <c r="AD49" s="0" t="n">
        <v>19.35935</v>
      </c>
      <c r="AE49" s="0" t="n">
        <v>14</v>
      </c>
      <c r="AF49" s="0" t="n">
        <v>14</v>
      </c>
      <c r="AG49" s="0" t="n">
        <v>14</v>
      </c>
      <c r="AH49" s="0" t="n">
        <v>34.2</v>
      </c>
      <c r="AI49" s="0" t="n">
        <v>34.2</v>
      </c>
      <c r="AJ49" s="0" t="n">
        <v>34.2</v>
      </c>
      <c r="AK49" s="0" t="n">
        <v>63.173</v>
      </c>
      <c r="AL49" s="0" t="n">
        <v>0</v>
      </c>
      <c r="AM49" s="0" t="n">
        <v>28.476</v>
      </c>
      <c r="AN49" s="0" t="n">
        <v>18943000</v>
      </c>
      <c r="AO49" s="0" t="n">
        <v>95</v>
      </c>
      <c r="AP49" s="0" t="s">
        <v>271</v>
      </c>
      <c r="AQ49" s="0" t="s">
        <v>272</v>
      </c>
      <c r="AR49" s="0" t="s">
        <v>275</v>
      </c>
      <c r="AU49" s="0" t="n">
        <v>129</v>
      </c>
    </row>
    <row r="50" customFormat="false" ht="15" hidden="false" customHeight="false" outlineLevel="0" collapsed="false">
      <c r="A50" s="0" t="s">
        <v>279</v>
      </c>
      <c r="B50" s="0" t="s">
        <v>277</v>
      </c>
      <c r="C50" s="0" t="s">
        <v>278</v>
      </c>
      <c r="D50" s="0" t="n">
        <v>21.21916</v>
      </c>
      <c r="E50" s="0" t="n">
        <v>21.32778</v>
      </c>
      <c r="F50" s="0" t="n">
        <v>22.11537</v>
      </c>
      <c r="G50" s="0" t="n">
        <v>20.83784</v>
      </c>
      <c r="H50" s="0" t="n">
        <v>21.02229</v>
      </c>
      <c r="I50" s="0" t="n">
        <v>20.95084</v>
      </c>
      <c r="J50" s="0" t="n">
        <v>21.16183</v>
      </c>
      <c r="K50" s="0" t="n">
        <v>21.11579</v>
      </c>
      <c r="L50" s="0" t="n">
        <v>21.19298</v>
      </c>
      <c r="M50" s="0" t="n">
        <v>22.2009</v>
      </c>
      <c r="N50" s="0" t="n">
        <v>16.60212</v>
      </c>
      <c r="O50" s="0" t="n">
        <v>20.70007</v>
      </c>
      <c r="P50" s="0" t="n">
        <v>20.04567</v>
      </c>
      <c r="Q50" s="0" t="n">
        <v>23.08096</v>
      </c>
      <c r="R50" s="0" t="n">
        <v>20.90124</v>
      </c>
      <c r="S50" s="0" t="n">
        <v>20.81237</v>
      </c>
      <c r="T50" s="0" t="n">
        <v>21.60878</v>
      </c>
      <c r="U50" s="0" t="n">
        <v>21.44693</v>
      </c>
      <c r="V50" s="0" t="n">
        <v>20.90021</v>
      </c>
      <c r="W50" s="0" t="n">
        <v>21.61634</v>
      </c>
      <c r="X50" s="0" t="n">
        <v>21.6631</v>
      </c>
      <c r="Y50" s="0" t="n">
        <v>21.19748</v>
      </c>
      <c r="Z50" s="0" t="n">
        <v>21.06888</v>
      </c>
      <c r="AA50" s="0" t="n">
        <v>21.09816</v>
      </c>
      <c r="AB50" s="0" t="n">
        <v>21.17585</v>
      </c>
      <c r="AC50" s="0" t="n">
        <v>21.84938</v>
      </c>
      <c r="AD50" s="0" t="n">
        <v>20.43979</v>
      </c>
      <c r="AE50" s="0" t="n">
        <v>13</v>
      </c>
      <c r="AF50" s="0" t="n">
        <v>13</v>
      </c>
      <c r="AG50" s="0" t="n">
        <v>13</v>
      </c>
      <c r="AH50" s="0" t="n">
        <v>57.7</v>
      </c>
      <c r="AI50" s="0" t="n">
        <v>57.7</v>
      </c>
      <c r="AJ50" s="0" t="n">
        <v>57.7</v>
      </c>
      <c r="AK50" s="0" t="n">
        <v>38.298</v>
      </c>
      <c r="AL50" s="0" t="n">
        <v>0</v>
      </c>
      <c r="AM50" s="0" t="n">
        <v>82.897</v>
      </c>
      <c r="AN50" s="0" t="n">
        <v>96967000</v>
      </c>
      <c r="AO50" s="0" t="n">
        <v>87</v>
      </c>
      <c r="AP50" s="0" t="s">
        <v>276</v>
      </c>
      <c r="AQ50" s="0" t="s">
        <v>277</v>
      </c>
      <c r="AR50" s="0" t="s">
        <v>280</v>
      </c>
      <c r="AU50" s="0" t="n">
        <v>130</v>
      </c>
    </row>
    <row r="51" customFormat="false" ht="15" hidden="false" customHeight="false" outlineLevel="0" collapsed="false">
      <c r="A51" s="0" t="s">
        <v>283</v>
      </c>
      <c r="B51" s="0" t="s">
        <v>281</v>
      </c>
      <c r="C51" s="0" t="s">
        <v>282</v>
      </c>
      <c r="D51" s="0" t="n">
        <v>18.35978</v>
      </c>
      <c r="E51" s="0" t="n">
        <v>18.69129</v>
      </c>
      <c r="F51" s="0" t="n">
        <v>20.54633</v>
      </c>
      <c r="G51" s="0" t="n">
        <v>18.4866</v>
      </c>
      <c r="H51" s="0" t="n">
        <v>20.08486</v>
      </c>
      <c r="I51" s="0" t="n">
        <v>20.14582</v>
      </c>
      <c r="J51" s="0" t="n">
        <v>17.99772</v>
      </c>
      <c r="K51" s="0" t="n">
        <v>19.5368</v>
      </c>
      <c r="L51" s="0" t="n">
        <v>19.59274</v>
      </c>
      <c r="M51" s="0" t="n">
        <v>19.07418</v>
      </c>
      <c r="N51" s="0" t="n">
        <v>19.42325</v>
      </c>
      <c r="O51" s="0" t="n">
        <v>17.42095</v>
      </c>
      <c r="P51" s="0" t="n">
        <v>19.22873</v>
      </c>
      <c r="Q51" s="0" t="n">
        <v>19.50133</v>
      </c>
      <c r="R51" s="0" t="n">
        <v>17.53754</v>
      </c>
      <c r="S51" s="0" t="n">
        <v>19.54272</v>
      </c>
      <c r="T51" s="0" t="n">
        <v>19.28141</v>
      </c>
      <c r="U51" s="0" t="n">
        <v>19.22541</v>
      </c>
      <c r="V51" s="0" t="n">
        <v>18.692</v>
      </c>
      <c r="W51" s="0" t="n">
        <v>19.6163</v>
      </c>
      <c r="X51" s="0" t="n">
        <v>18.9322</v>
      </c>
      <c r="Y51" s="0" t="n">
        <v>18.06139</v>
      </c>
      <c r="Z51" s="0" t="n">
        <v>18.95433</v>
      </c>
      <c r="AA51" s="0" t="n">
        <v>18.63062</v>
      </c>
      <c r="AB51" s="0" t="n">
        <v>20.42818</v>
      </c>
      <c r="AC51" s="0" t="n">
        <v>19.32092</v>
      </c>
      <c r="AD51" s="0" t="n">
        <v>20.00003</v>
      </c>
      <c r="AE51" s="0" t="n">
        <v>11</v>
      </c>
      <c r="AF51" s="0" t="n">
        <v>11</v>
      </c>
      <c r="AG51" s="0" t="n">
        <v>11</v>
      </c>
      <c r="AH51" s="0" t="n">
        <v>43.5</v>
      </c>
      <c r="AI51" s="0" t="n">
        <v>43.5</v>
      </c>
      <c r="AJ51" s="0" t="n">
        <v>43.5</v>
      </c>
      <c r="AK51" s="0" t="n">
        <v>38.177</v>
      </c>
      <c r="AL51" s="0" t="n">
        <v>0</v>
      </c>
      <c r="AM51" s="0" t="n">
        <v>323.31</v>
      </c>
      <c r="AN51" s="0" t="n">
        <v>23186000</v>
      </c>
      <c r="AO51" s="0" t="n">
        <v>119</v>
      </c>
      <c r="AP51" s="0" t="s">
        <v>281</v>
      </c>
      <c r="AQ51" s="0" t="s">
        <v>281</v>
      </c>
      <c r="AR51" s="0" t="s">
        <v>284</v>
      </c>
      <c r="AU51" s="0" t="n">
        <v>131</v>
      </c>
    </row>
    <row r="52" customFormat="false" ht="15" hidden="false" customHeight="false" outlineLevel="0" collapsed="false">
      <c r="A52" s="0" t="s">
        <v>288</v>
      </c>
      <c r="B52" s="0" t="s">
        <v>286</v>
      </c>
      <c r="C52" s="0" t="s">
        <v>287</v>
      </c>
      <c r="D52" s="0" t="n">
        <v>21.05762</v>
      </c>
      <c r="E52" s="0" t="n">
        <v>21.19298</v>
      </c>
      <c r="F52" s="0" t="n">
        <v>19.83189</v>
      </c>
      <c r="G52" s="0" t="n">
        <v>20.48837</v>
      </c>
      <c r="H52" s="0" t="n">
        <v>20.95858</v>
      </c>
      <c r="I52" s="0" t="n">
        <v>21.10412</v>
      </c>
      <c r="J52" s="0" t="n">
        <v>20.57228</v>
      </c>
      <c r="K52" s="0" t="n">
        <v>21.41209</v>
      </c>
      <c r="L52" s="0" t="n">
        <v>21.53692</v>
      </c>
      <c r="M52" s="0" t="n">
        <v>21.85559</v>
      </c>
      <c r="N52" s="0" t="n">
        <v>20.17402</v>
      </c>
      <c r="O52" s="0" t="n">
        <v>20.80884</v>
      </c>
      <c r="P52" s="0" t="n">
        <v>21.69829</v>
      </c>
      <c r="Q52" s="0" t="n">
        <v>21.92143</v>
      </c>
      <c r="R52" s="0" t="n">
        <v>20.89933</v>
      </c>
      <c r="S52" s="0" t="n">
        <v>20.44789</v>
      </c>
      <c r="T52" s="0" t="n">
        <v>21.92133</v>
      </c>
      <c r="U52" s="0" t="n">
        <v>21.48601</v>
      </c>
      <c r="V52" s="0" t="n">
        <v>20.98001</v>
      </c>
      <c r="W52" s="0" t="n">
        <v>21.70443</v>
      </c>
      <c r="X52" s="0" t="n">
        <v>21.04046</v>
      </c>
      <c r="Y52" s="0" t="n">
        <v>21.86007</v>
      </c>
      <c r="Z52" s="0" t="n">
        <v>21.26023</v>
      </c>
      <c r="AA52" s="0" t="n">
        <v>21.47556</v>
      </c>
      <c r="AB52" s="0" t="n">
        <v>20.82951</v>
      </c>
      <c r="AC52" s="0" t="n">
        <v>21.61279</v>
      </c>
      <c r="AD52" s="0" t="n">
        <v>21.95397</v>
      </c>
      <c r="AE52" s="0" t="n">
        <v>47</v>
      </c>
      <c r="AF52" s="0" t="n">
        <v>47</v>
      </c>
      <c r="AG52" s="0" t="n">
        <v>47</v>
      </c>
      <c r="AH52" s="0" t="n">
        <v>38.3</v>
      </c>
      <c r="AI52" s="0" t="n">
        <v>38.3</v>
      </c>
      <c r="AJ52" s="0" t="n">
        <v>38.3</v>
      </c>
      <c r="AK52" s="0" t="n">
        <v>249.4</v>
      </c>
      <c r="AL52" s="0" t="n">
        <v>0</v>
      </c>
      <c r="AM52" s="0" t="n">
        <v>242.38</v>
      </c>
      <c r="AN52" s="0" t="n">
        <v>95885000</v>
      </c>
      <c r="AO52" s="0" t="n">
        <v>334</v>
      </c>
      <c r="AP52" s="0" t="s">
        <v>285</v>
      </c>
      <c r="AQ52" s="0" t="s">
        <v>286</v>
      </c>
      <c r="AR52" s="0" t="s">
        <v>289</v>
      </c>
      <c r="AS52" s="0" t="n">
        <v>77</v>
      </c>
      <c r="AT52" s="0" t="n">
        <v>1283</v>
      </c>
      <c r="AU52" s="0" t="n">
        <v>132</v>
      </c>
    </row>
    <row r="53" customFormat="false" ht="15" hidden="false" customHeight="false" outlineLevel="0" collapsed="false">
      <c r="A53" s="0" t="s">
        <v>292</v>
      </c>
      <c r="B53" s="0" t="s">
        <v>290</v>
      </c>
      <c r="C53" s="0" t="s">
        <v>291</v>
      </c>
      <c r="D53" s="0" t="n">
        <v>16.9741</v>
      </c>
      <c r="E53" s="0" t="n">
        <v>19.88426</v>
      </c>
      <c r="F53" s="0" t="n">
        <v>16.87385</v>
      </c>
      <c r="G53" s="0" t="n">
        <v>17.74116</v>
      </c>
      <c r="H53" s="0" t="n">
        <v>18.40037</v>
      </c>
      <c r="I53" s="0" t="n">
        <v>18.50916</v>
      </c>
      <c r="J53" s="0" t="n">
        <v>18.14251</v>
      </c>
      <c r="K53" s="0" t="n">
        <v>18.4184</v>
      </c>
      <c r="L53" s="0" t="n">
        <v>17.21267</v>
      </c>
      <c r="M53" s="0" t="n">
        <v>18.50013</v>
      </c>
      <c r="N53" s="0" t="n">
        <v>16.88686</v>
      </c>
      <c r="O53" s="0" t="n">
        <v>17.94369</v>
      </c>
      <c r="P53" s="0" t="n">
        <v>19.01269</v>
      </c>
      <c r="Q53" s="0" t="n">
        <v>20.52736</v>
      </c>
      <c r="R53" s="0" t="n">
        <v>18.86236</v>
      </c>
      <c r="S53" s="0" t="n">
        <v>17.88572</v>
      </c>
      <c r="T53" s="0" t="n">
        <v>18.91567</v>
      </c>
      <c r="U53" s="0" t="n">
        <v>18.51438</v>
      </c>
      <c r="V53" s="0" t="n">
        <v>18.44399</v>
      </c>
      <c r="W53" s="0" t="n">
        <v>18.77208</v>
      </c>
      <c r="X53" s="0" t="n">
        <v>17.44119</v>
      </c>
      <c r="Y53" s="0" t="n">
        <v>18.08312</v>
      </c>
      <c r="Z53" s="0" t="n">
        <v>18.88316</v>
      </c>
      <c r="AA53" s="0" t="n">
        <v>19.10947</v>
      </c>
      <c r="AB53" s="0" t="n">
        <v>18.97953</v>
      </c>
      <c r="AC53" s="0" t="n">
        <v>18.13486</v>
      </c>
      <c r="AD53" s="0" t="n">
        <v>18.9131</v>
      </c>
      <c r="AE53" s="0" t="n">
        <v>10</v>
      </c>
      <c r="AF53" s="0" t="n">
        <v>10</v>
      </c>
      <c r="AG53" s="0" t="n">
        <v>10</v>
      </c>
      <c r="AH53" s="0" t="n">
        <v>72.4</v>
      </c>
      <c r="AI53" s="0" t="n">
        <v>72.4</v>
      </c>
      <c r="AJ53" s="0" t="n">
        <v>72.4</v>
      </c>
      <c r="AK53" s="0" t="n">
        <v>22.974</v>
      </c>
      <c r="AL53" s="0" t="n">
        <v>0</v>
      </c>
      <c r="AM53" s="0" t="n">
        <v>77.201</v>
      </c>
      <c r="AN53" s="0" t="n">
        <v>16283000</v>
      </c>
      <c r="AO53" s="0" t="n">
        <v>124</v>
      </c>
      <c r="AP53" s="0" t="s">
        <v>290</v>
      </c>
      <c r="AQ53" s="0" t="s">
        <v>290</v>
      </c>
      <c r="AR53" s="0" t="s">
        <v>145</v>
      </c>
      <c r="AU53" s="0" t="n">
        <v>133</v>
      </c>
    </row>
    <row r="54" customFormat="false" ht="15" hidden="false" customHeight="false" outlineLevel="0" collapsed="false">
      <c r="A54" s="0" t="s">
        <v>295</v>
      </c>
      <c r="B54" s="0" t="s">
        <v>293</v>
      </c>
      <c r="C54" s="0" t="s">
        <v>294</v>
      </c>
      <c r="D54" s="0" t="n">
        <v>18.16952</v>
      </c>
      <c r="E54" s="0" t="n">
        <v>18.81428</v>
      </c>
      <c r="F54" s="0" t="n">
        <v>15.97527</v>
      </c>
      <c r="G54" s="0" t="n">
        <v>17.84249</v>
      </c>
      <c r="H54" s="0" t="n">
        <v>18.23491</v>
      </c>
      <c r="I54" s="0" t="n">
        <v>18.5641</v>
      </c>
      <c r="J54" s="0" t="n">
        <v>17.73231</v>
      </c>
      <c r="K54" s="0" t="n">
        <v>18.28211</v>
      </c>
      <c r="L54" s="0" t="n">
        <v>18.29773</v>
      </c>
      <c r="M54" s="0" t="n">
        <v>18.39941</v>
      </c>
      <c r="N54" s="0" t="n">
        <v>16.10646</v>
      </c>
      <c r="O54" s="0" t="n">
        <v>18.70496</v>
      </c>
      <c r="P54" s="0" t="n">
        <v>17.48738</v>
      </c>
      <c r="Q54" s="0" t="n">
        <v>19.45808</v>
      </c>
      <c r="R54" s="0" t="n">
        <v>19.19039</v>
      </c>
      <c r="S54" s="0" t="n">
        <v>18.09166</v>
      </c>
      <c r="T54" s="0" t="n">
        <v>17.61641</v>
      </c>
      <c r="U54" s="0" t="n">
        <v>18.43661</v>
      </c>
      <c r="V54" s="0" t="n">
        <v>18.10144</v>
      </c>
      <c r="W54" s="0" t="n">
        <v>18.0788</v>
      </c>
      <c r="X54" s="0" t="n">
        <v>17.09104</v>
      </c>
      <c r="Y54" s="0" t="n">
        <v>17.52451</v>
      </c>
      <c r="Z54" s="0" t="n">
        <v>17.97175</v>
      </c>
      <c r="AA54" s="0" t="n">
        <v>18.05574</v>
      </c>
      <c r="AB54" s="0" t="n">
        <v>18.24047</v>
      </c>
      <c r="AC54" s="0" t="n">
        <v>18.79573</v>
      </c>
      <c r="AD54" s="0" t="n">
        <v>17.45443</v>
      </c>
      <c r="AE54" s="0" t="n">
        <v>8</v>
      </c>
      <c r="AF54" s="0" t="n">
        <v>8</v>
      </c>
      <c r="AG54" s="0" t="n">
        <v>8</v>
      </c>
      <c r="AH54" s="0" t="n">
        <v>33</v>
      </c>
      <c r="AI54" s="0" t="n">
        <v>33</v>
      </c>
      <c r="AJ54" s="0" t="n">
        <v>33</v>
      </c>
      <c r="AK54" s="0" t="n">
        <v>38.999</v>
      </c>
      <c r="AL54" s="0" t="n">
        <v>0</v>
      </c>
      <c r="AM54" s="0" t="n">
        <v>54.626</v>
      </c>
      <c r="AN54" s="0" t="n">
        <v>11522000</v>
      </c>
      <c r="AO54" s="0" t="n">
        <v>35</v>
      </c>
      <c r="AP54" s="0" t="s">
        <v>293</v>
      </c>
      <c r="AQ54" s="0" t="s">
        <v>293</v>
      </c>
      <c r="AR54" s="0" t="s">
        <v>296</v>
      </c>
      <c r="AU54" s="0" t="n">
        <v>134</v>
      </c>
    </row>
    <row r="55" customFormat="false" ht="15" hidden="false" customHeight="false" outlineLevel="0" collapsed="false">
      <c r="A55" s="0" t="s">
        <v>299</v>
      </c>
      <c r="B55" s="0" t="s">
        <v>297</v>
      </c>
      <c r="C55" s="0" t="s">
        <v>298</v>
      </c>
      <c r="D55" s="0" t="n">
        <v>21.75764</v>
      </c>
      <c r="E55" s="0" t="n">
        <v>22.406</v>
      </c>
      <c r="F55" s="0" t="n">
        <v>21.92278</v>
      </c>
      <c r="G55" s="0" t="n">
        <v>21.73913</v>
      </c>
      <c r="H55" s="0" t="n">
        <v>22.52306</v>
      </c>
      <c r="I55" s="0" t="n">
        <v>22.28915</v>
      </c>
      <c r="J55" s="0" t="n">
        <v>22.39223</v>
      </c>
      <c r="K55" s="0" t="n">
        <v>22.17664</v>
      </c>
      <c r="L55" s="0" t="n">
        <v>21.52664</v>
      </c>
      <c r="M55" s="0" t="n">
        <v>20.84</v>
      </c>
      <c r="N55" s="0" t="n">
        <v>20.33865</v>
      </c>
      <c r="O55" s="0" t="n">
        <v>20.61414</v>
      </c>
      <c r="P55" s="0" t="n">
        <v>22.05321</v>
      </c>
      <c r="Q55" s="0" t="n">
        <v>21.0476</v>
      </c>
      <c r="R55" s="0" t="n">
        <v>21.95784</v>
      </c>
      <c r="S55" s="0" t="n">
        <v>23.01447</v>
      </c>
      <c r="T55" s="0" t="n">
        <v>22.43525</v>
      </c>
      <c r="U55" s="0" t="n">
        <v>22.25298</v>
      </c>
      <c r="V55" s="0" t="n">
        <v>22.66442</v>
      </c>
      <c r="W55" s="0" t="n">
        <v>21.89341</v>
      </c>
      <c r="X55" s="0" t="n">
        <v>23.24644</v>
      </c>
      <c r="Y55" s="0" t="n">
        <v>22.15814</v>
      </c>
      <c r="Z55" s="0" t="n">
        <v>22.11006</v>
      </c>
      <c r="AA55" s="0" t="n">
        <v>22.40671</v>
      </c>
      <c r="AB55" s="0" t="n">
        <v>23.16759</v>
      </c>
      <c r="AC55" s="0" t="n">
        <v>21.79812</v>
      </c>
      <c r="AD55" s="0" t="n">
        <v>22.96739</v>
      </c>
      <c r="AE55" s="0" t="n">
        <v>9</v>
      </c>
      <c r="AF55" s="0" t="n">
        <v>9</v>
      </c>
      <c r="AG55" s="0" t="n">
        <v>6</v>
      </c>
      <c r="AH55" s="0" t="n">
        <v>44.8</v>
      </c>
      <c r="AI55" s="0" t="n">
        <v>44.8</v>
      </c>
      <c r="AJ55" s="0" t="n">
        <v>32.3</v>
      </c>
      <c r="AK55" s="0" t="n">
        <v>23.511</v>
      </c>
      <c r="AL55" s="0" t="n">
        <v>0</v>
      </c>
      <c r="AM55" s="0" t="n">
        <v>323.31</v>
      </c>
      <c r="AN55" s="0" t="n">
        <v>194600000</v>
      </c>
      <c r="AO55" s="0" t="n">
        <v>264</v>
      </c>
      <c r="AP55" s="0" t="s">
        <v>297</v>
      </c>
      <c r="AQ55" s="0" t="s">
        <v>297</v>
      </c>
      <c r="AR55" s="0" t="s">
        <v>226</v>
      </c>
      <c r="AS55" s="0" t="n">
        <v>78</v>
      </c>
      <c r="AT55" s="0" t="n">
        <v>129</v>
      </c>
      <c r="AU55" s="0" t="n">
        <v>135</v>
      </c>
    </row>
    <row r="56" customFormat="false" ht="15" hidden="false" customHeight="false" outlineLevel="0" collapsed="false">
      <c r="A56" s="0" t="s">
        <v>303</v>
      </c>
      <c r="B56" s="0" t="s">
        <v>301</v>
      </c>
      <c r="C56" s="0" t="s">
        <v>302</v>
      </c>
      <c r="D56" s="0" t="n">
        <v>21.24383</v>
      </c>
      <c r="E56" s="0" t="n">
        <v>21.89538</v>
      </c>
      <c r="F56" s="0" t="n">
        <v>21.94575</v>
      </c>
      <c r="G56" s="0" t="n">
        <v>22.34889</v>
      </c>
      <c r="H56" s="0" t="n">
        <v>21.82881</v>
      </c>
      <c r="I56" s="0" t="n">
        <v>22.31915</v>
      </c>
      <c r="J56" s="0" t="n">
        <v>21.06151</v>
      </c>
      <c r="K56" s="0" t="n">
        <v>21.70455</v>
      </c>
      <c r="L56" s="0" t="n">
        <v>21.46628</v>
      </c>
      <c r="M56" s="0" t="n">
        <v>21.1925</v>
      </c>
      <c r="N56" s="0" t="n">
        <v>21.20812</v>
      </c>
      <c r="O56" s="0" t="n">
        <v>19.46579</v>
      </c>
      <c r="P56" s="0" t="n">
        <v>22.1006</v>
      </c>
      <c r="Q56" s="0" t="n">
        <v>20.60277</v>
      </c>
      <c r="R56" s="0" t="n">
        <v>20.1784</v>
      </c>
      <c r="S56" s="0" t="n">
        <v>21.29603</v>
      </c>
      <c r="T56" s="0" t="n">
        <v>21.57579</v>
      </c>
      <c r="U56" s="0" t="n">
        <v>21.92994</v>
      </c>
      <c r="V56" s="0" t="n">
        <v>21.41529</v>
      </c>
      <c r="W56" s="0" t="n">
        <v>21.88963</v>
      </c>
      <c r="X56" s="0" t="n">
        <v>22.37579</v>
      </c>
      <c r="Y56" s="0" t="n">
        <v>22.97463</v>
      </c>
      <c r="Z56" s="0" t="n">
        <v>21.52032</v>
      </c>
      <c r="AA56" s="0" t="n">
        <v>21.81026</v>
      </c>
      <c r="AB56" s="0" t="n">
        <v>21.46309</v>
      </c>
      <c r="AC56" s="0" t="n">
        <v>21.65958</v>
      </c>
      <c r="AD56" s="0" t="n">
        <v>21.79812</v>
      </c>
      <c r="AE56" s="0" t="n">
        <v>9</v>
      </c>
      <c r="AF56" s="0" t="n">
        <v>9</v>
      </c>
      <c r="AG56" s="0" t="n">
        <v>9</v>
      </c>
      <c r="AH56" s="0" t="n">
        <v>40.6</v>
      </c>
      <c r="AI56" s="0" t="n">
        <v>40.6</v>
      </c>
      <c r="AJ56" s="0" t="n">
        <v>40.6</v>
      </c>
      <c r="AK56" s="0" t="n">
        <v>39.324</v>
      </c>
      <c r="AL56" s="0" t="n">
        <v>0</v>
      </c>
      <c r="AM56" s="0" t="n">
        <v>323.31</v>
      </c>
      <c r="AN56" s="0" t="n">
        <v>124990000</v>
      </c>
      <c r="AO56" s="0" t="n">
        <v>221</v>
      </c>
      <c r="AP56" s="0" t="s">
        <v>300</v>
      </c>
      <c r="AQ56" s="0" t="s">
        <v>301</v>
      </c>
      <c r="AR56" s="0" t="s">
        <v>226</v>
      </c>
      <c r="AS56" s="0" t="n">
        <v>79</v>
      </c>
      <c r="AT56" s="0" t="n">
        <v>321</v>
      </c>
      <c r="AU56" s="0" t="n">
        <v>136</v>
      </c>
    </row>
    <row r="57" customFormat="false" ht="15" hidden="false" customHeight="false" outlineLevel="0" collapsed="false">
      <c r="A57" s="0" t="s">
        <v>307</v>
      </c>
      <c r="B57" s="0" t="s">
        <v>305</v>
      </c>
      <c r="C57" s="0" t="s">
        <v>306</v>
      </c>
      <c r="D57" s="0" t="n">
        <v>19.52728</v>
      </c>
      <c r="E57" s="0" t="n">
        <v>21.68209</v>
      </c>
      <c r="F57" s="0" t="n">
        <v>21.67116</v>
      </c>
      <c r="G57" s="0" t="n">
        <v>20.78277</v>
      </c>
      <c r="H57" s="0" t="n">
        <v>21.60309</v>
      </c>
      <c r="I57" s="0" t="n">
        <v>20.70269</v>
      </c>
      <c r="J57" s="0" t="n">
        <v>20.38437</v>
      </c>
      <c r="K57" s="0" t="n">
        <v>21.9501</v>
      </c>
      <c r="L57" s="0" t="n">
        <v>20.20288</v>
      </c>
      <c r="M57" s="0" t="n">
        <v>18.10472</v>
      </c>
      <c r="N57" s="0" t="n">
        <v>17.23211</v>
      </c>
      <c r="O57" s="0" t="n">
        <v>19.31072</v>
      </c>
      <c r="P57" s="0" t="n">
        <v>22.11661</v>
      </c>
      <c r="Q57" s="0" t="n">
        <v>20.9025</v>
      </c>
      <c r="R57" s="0" t="n">
        <v>20.24656</v>
      </c>
      <c r="S57" s="0" t="n">
        <v>20.95347</v>
      </c>
      <c r="T57" s="0" t="n">
        <v>21.1764</v>
      </c>
      <c r="U57" s="0" t="n">
        <v>21.76963</v>
      </c>
      <c r="V57" s="0" t="n">
        <v>21.06164</v>
      </c>
      <c r="W57" s="0" t="n">
        <v>21.163</v>
      </c>
      <c r="X57" s="0" t="n">
        <v>22.09516</v>
      </c>
      <c r="Y57" s="0" t="n">
        <v>20.30519</v>
      </c>
      <c r="Z57" s="0" t="n">
        <v>21.59969</v>
      </c>
      <c r="AA57" s="0" t="n">
        <v>21.55197</v>
      </c>
      <c r="AB57" s="0" t="n">
        <v>21.46518</v>
      </c>
      <c r="AC57" s="0" t="n">
        <v>20.41957</v>
      </c>
      <c r="AD57" s="0" t="n">
        <v>21.52831</v>
      </c>
      <c r="AE57" s="0" t="n">
        <v>9</v>
      </c>
      <c r="AF57" s="0" t="n">
        <v>9</v>
      </c>
      <c r="AG57" s="0" t="n">
        <v>9</v>
      </c>
      <c r="AH57" s="0" t="n">
        <v>69.4</v>
      </c>
      <c r="AI57" s="0" t="n">
        <v>69.4</v>
      </c>
      <c r="AJ57" s="0" t="n">
        <v>69.4</v>
      </c>
      <c r="AK57" s="0" t="n">
        <v>15.887</v>
      </c>
      <c r="AL57" s="0" t="n">
        <v>0</v>
      </c>
      <c r="AM57" s="0" t="n">
        <v>258.46</v>
      </c>
      <c r="AN57" s="0" t="n">
        <v>85560000</v>
      </c>
      <c r="AO57" s="0" t="n">
        <v>191</v>
      </c>
      <c r="AP57" s="0" t="s">
        <v>304</v>
      </c>
      <c r="AQ57" s="0" t="s">
        <v>305</v>
      </c>
      <c r="AR57" s="0" t="s">
        <v>226</v>
      </c>
      <c r="AU57" s="0" t="n">
        <v>137</v>
      </c>
    </row>
    <row r="58" customFormat="false" ht="15" hidden="false" customHeight="false" outlineLevel="0" collapsed="false">
      <c r="A58" s="0" t="s">
        <v>310</v>
      </c>
      <c r="B58" s="0" t="s">
        <v>308</v>
      </c>
      <c r="C58" s="0" t="s">
        <v>309</v>
      </c>
      <c r="D58" s="0" t="n">
        <v>23.07774</v>
      </c>
      <c r="E58" s="0" t="n">
        <v>22.95211</v>
      </c>
      <c r="F58" s="0" t="n">
        <v>23.46712</v>
      </c>
      <c r="G58" s="0" t="n">
        <v>23.10478</v>
      </c>
      <c r="H58" s="0" t="n">
        <v>23.79213</v>
      </c>
      <c r="I58" s="0" t="n">
        <v>23.56162</v>
      </c>
      <c r="J58" s="0" t="n">
        <v>22.85855</v>
      </c>
      <c r="K58" s="0" t="n">
        <v>23.27555</v>
      </c>
      <c r="L58" s="0" t="n">
        <v>23.13323</v>
      </c>
      <c r="M58" s="0" t="n">
        <v>23.38653</v>
      </c>
      <c r="N58" s="0" t="n">
        <v>23.24531</v>
      </c>
      <c r="O58" s="0" t="n">
        <v>22.28926</v>
      </c>
      <c r="P58" s="0" t="n">
        <v>23.52013</v>
      </c>
      <c r="Q58" s="0" t="n">
        <v>23.67411</v>
      </c>
      <c r="R58" s="0" t="n">
        <v>22.47388</v>
      </c>
      <c r="S58" s="0" t="n">
        <v>22.98843</v>
      </c>
      <c r="T58" s="0" t="n">
        <v>23.47877</v>
      </c>
      <c r="U58" s="0" t="n">
        <v>23.37968</v>
      </c>
      <c r="V58" s="0" t="n">
        <v>22.91996</v>
      </c>
      <c r="W58" s="0" t="n">
        <v>23.16168</v>
      </c>
      <c r="X58" s="0" t="n">
        <v>23.67638</v>
      </c>
      <c r="Y58" s="0" t="n">
        <v>23.69147</v>
      </c>
      <c r="Z58" s="0" t="n">
        <v>23.17008</v>
      </c>
      <c r="AA58" s="0" t="n">
        <v>23.13187</v>
      </c>
      <c r="AB58" s="0" t="n">
        <v>23.38601</v>
      </c>
      <c r="AC58" s="0" t="n">
        <v>23.4929</v>
      </c>
      <c r="AD58" s="0" t="n">
        <v>23.19099</v>
      </c>
      <c r="AE58" s="0" t="n">
        <v>25</v>
      </c>
      <c r="AF58" s="0" t="n">
        <v>25</v>
      </c>
      <c r="AG58" s="0" t="n">
        <v>2</v>
      </c>
      <c r="AH58" s="0" t="n">
        <v>63.1</v>
      </c>
      <c r="AI58" s="0" t="n">
        <v>63.1</v>
      </c>
      <c r="AJ58" s="0" t="n">
        <v>5.7</v>
      </c>
      <c r="AK58" s="0" t="n">
        <v>52.963</v>
      </c>
      <c r="AL58" s="0" t="n">
        <v>0</v>
      </c>
      <c r="AM58" s="0" t="n">
        <v>323.31</v>
      </c>
      <c r="AN58" s="0" t="n">
        <v>360480000</v>
      </c>
      <c r="AO58" s="0" t="n">
        <v>513</v>
      </c>
      <c r="AP58" s="0" t="s">
        <v>308</v>
      </c>
      <c r="AQ58" s="0" t="s">
        <v>308</v>
      </c>
      <c r="AR58" s="0" t="s">
        <v>121</v>
      </c>
      <c r="AS58" s="0" t="n">
        <v>39</v>
      </c>
      <c r="AT58" s="0" t="n">
        <v>185</v>
      </c>
      <c r="AU58" s="0" t="n">
        <v>138</v>
      </c>
    </row>
    <row r="59" customFormat="false" ht="15" hidden="false" customHeight="false" outlineLevel="0" collapsed="false">
      <c r="A59" s="0" t="s">
        <v>313</v>
      </c>
      <c r="B59" s="0" t="s">
        <v>311</v>
      </c>
      <c r="C59" s="0" t="s">
        <v>312</v>
      </c>
      <c r="D59" s="0" t="n">
        <v>17.94575</v>
      </c>
      <c r="E59" s="0" t="n">
        <v>18.26109</v>
      </c>
      <c r="F59" s="0" t="n">
        <v>16.21544</v>
      </c>
      <c r="G59" s="0" t="n">
        <v>19.31816</v>
      </c>
      <c r="H59" s="0" t="n">
        <v>18.04383</v>
      </c>
      <c r="I59" s="0" t="n">
        <v>18.61956</v>
      </c>
      <c r="J59" s="0" t="n">
        <v>17.18911</v>
      </c>
      <c r="K59" s="0" t="n">
        <v>18.18979</v>
      </c>
      <c r="L59" s="0" t="n">
        <v>18.69074</v>
      </c>
      <c r="M59" s="0" t="n">
        <v>18.8465</v>
      </c>
      <c r="N59" s="0" t="n">
        <v>16.09975</v>
      </c>
      <c r="O59" s="0" t="n">
        <v>17.44581</v>
      </c>
      <c r="P59" s="0" t="n">
        <v>18.84739</v>
      </c>
      <c r="Q59" s="0" t="n">
        <v>14.16608</v>
      </c>
      <c r="R59" s="0" t="n">
        <v>18.36863</v>
      </c>
      <c r="S59" s="0" t="n">
        <v>17.86961</v>
      </c>
      <c r="T59" s="0" t="n">
        <v>18.51991</v>
      </c>
      <c r="U59" s="0" t="n">
        <v>18.20003</v>
      </c>
      <c r="V59" s="0" t="n">
        <v>17.5939</v>
      </c>
      <c r="W59" s="0" t="n">
        <v>18.74067</v>
      </c>
      <c r="X59" s="0" t="n">
        <v>19.62776</v>
      </c>
      <c r="Y59" s="0" t="n">
        <v>20.61477</v>
      </c>
      <c r="Z59" s="0" t="n">
        <v>19.18171</v>
      </c>
      <c r="AA59" s="0" t="n">
        <v>19.13976</v>
      </c>
      <c r="AB59" s="0" t="n">
        <v>19.06745</v>
      </c>
      <c r="AC59" s="0" t="n">
        <v>19.46702</v>
      </c>
      <c r="AD59" s="0" t="n">
        <v>18.1849</v>
      </c>
      <c r="AE59" s="0" t="n">
        <v>6</v>
      </c>
      <c r="AF59" s="0" t="n">
        <v>6</v>
      </c>
      <c r="AG59" s="0" t="n">
        <v>6</v>
      </c>
      <c r="AH59" s="0" t="n">
        <v>38.3</v>
      </c>
      <c r="AI59" s="0" t="n">
        <v>38.3</v>
      </c>
      <c r="AJ59" s="0" t="n">
        <v>38.3</v>
      </c>
      <c r="AK59" s="0" t="n">
        <v>13.894</v>
      </c>
      <c r="AL59" s="0" t="n">
        <v>0</v>
      </c>
      <c r="AM59" s="0" t="n">
        <v>14.767</v>
      </c>
      <c r="AN59" s="0" t="n">
        <v>14678000</v>
      </c>
      <c r="AO59" s="0" t="n">
        <v>58</v>
      </c>
      <c r="AP59" s="0" t="s">
        <v>311</v>
      </c>
      <c r="AQ59" s="0" t="s">
        <v>311</v>
      </c>
      <c r="AR59" s="0" t="s">
        <v>155</v>
      </c>
      <c r="AU59" s="0" t="n">
        <v>139</v>
      </c>
    </row>
    <row r="60" customFormat="false" ht="15" hidden="false" customHeight="false" outlineLevel="0" collapsed="false">
      <c r="A60" s="0" t="s">
        <v>317</v>
      </c>
      <c r="B60" s="0" t="s">
        <v>315</v>
      </c>
      <c r="C60" s="0" t="s">
        <v>316</v>
      </c>
      <c r="D60" s="0" t="n">
        <v>25.0547</v>
      </c>
      <c r="E60" s="0" t="n">
        <v>23.80853</v>
      </c>
      <c r="F60" s="0" t="n">
        <v>24.28673</v>
      </c>
      <c r="G60" s="0" t="n">
        <v>24.79531</v>
      </c>
      <c r="H60" s="0" t="n">
        <v>24.9055</v>
      </c>
      <c r="I60" s="0" t="n">
        <v>24.70852</v>
      </c>
      <c r="J60" s="0" t="n">
        <v>25.0147</v>
      </c>
      <c r="K60" s="0" t="n">
        <v>24.48738</v>
      </c>
      <c r="L60" s="0" t="n">
        <v>25.02614</v>
      </c>
      <c r="M60" s="0" t="n">
        <v>25.45158</v>
      </c>
      <c r="N60" s="0" t="n">
        <v>24.3646</v>
      </c>
      <c r="O60" s="0" t="n">
        <v>25.60631</v>
      </c>
      <c r="P60" s="0" t="n">
        <v>24.86566</v>
      </c>
      <c r="Q60" s="0" t="n">
        <v>24.86844</v>
      </c>
      <c r="R60" s="0" t="n">
        <v>25.5037</v>
      </c>
      <c r="S60" s="0" t="n">
        <v>24.51923</v>
      </c>
      <c r="T60" s="0" t="n">
        <v>24.60789</v>
      </c>
      <c r="U60" s="0" t="n">
        <v>24.31907</v>
      </c>
      <c r="V60" s="0" t="n">
        <v>24.36793</v>
      </c>
      <c r="W60" s="0" t="n">
        <v>24.75588</v>
      </c>
      <c r="X60" s="0" t="n">
        <v>24.72588</v>
      </c>
      <c r="Y60" s="0" t="n">
        <v>24.53635</v>
      </c>
      <c r="Z60" s="0" t="n">
        <v>24.3684</v>
      </c>
      <c r="AA60" s="0" t="n">
        <v>24.49069</v>
      </c>
      <c r="AB60" s="0" t="n">
        <v>24.31659</v>
      </c>
      <c r="AC60" s="0" t="n">
        <v>24.79119</v>
      </c>
      <c r="AD60" s="0" t="n">
        <v>24.43307</v>
      </c>
      <c r="AE60" s="0" t="n">
        <v>51</v>
      </c>
      <c r="AF60" s="0" t="n">
        <v>51</v>
      </c>
      <c r="AG60" s="0" t="n">
        <v>51</v>
      </c>
      <c r="AH60" s="0" t="n">
        <v>69.1</v>
      </c>
      <c r="AI60" s="0" t="n">
        <v>69.1</v>
      </c>
      <c r="AJ60" s="0" t="n">
        <v>69.1</v>
      </c>
      <c r="AK60" s="0" t="n">
        <v>77.063</v>
      </c>
      <c r="AL60" s="0" t="n">
        <v>0</v>
      </c>
      <c r="AM60" s="0" t="n">
        <v>323.31</v>
      </c>
      <c r="AN60" s="0" t="n">
        <v>1149700000</v>
      </c>
      <c r="AO60" s="0" t="n">
        <v>1105</v>
      </c>
      <c r="AP60" s="0" t="s">
        <v>314</v>
      </c>
      <c r="AQ60" s="0" t="s">
        <v>315</v>
      </c>
      <c r="AR60" s="0" t="s">
        <v>318</v>
      </c>
      <c r="AS60" s="0" t="s">
        <v>319</v>
      </c>
      <c r="AT60" s="0" t="s">
        <v>320</v>
      </c>
      <c r="AU60" s="0" t="n">
        <v>141</v>
      </c>
    </row>
    <row r="61" customFormat="false" ht="15" hidden="false" customHeight="false" outlineLevel="0" collapsed="false">
      <c r="A61" s="0" t="s">
        <v>323</v>
      </c>
      <c r="B61" s="0" t="s">
        <v>321</v>
      </c>
      <c r="C61" s="0" t="s">
        <v>322</v>
      </c>
      <c r="D61" s="0" t="n">
        <v>23.59423</v>
      </c>
      <c r="E61" s="0" t="n">
        <v>23.536</v>
      </c>
      <c r="F61" s="0" t="n">
        <v>23.93643</v>
      </c>
      <c r="G61" s="0" t="n">
        <v>23.5248</v>
      </c>
      <c r="H61" s="0" t="n">
        <v>23.61852</v>
      </c>
      <c r="I61" s="0" t="n">
        <v>23.83123</v>
      </c>
      <c r="J61" s="0" t="n">
        <v>22.98944</v>
      </c>
      <c r="K61" s="0" t="n">
        <v>23.45776</v>
      </c>
      <c r="L61" s="0" t="n">
        <v>23.44152</v>
      </c>
      <c r="M61" s="0" t="n">
        <v>23.63677</v>
      </c>
      <c r="N61" s="0" t="n">
        <v>22.63646</v>
      </c>
      <c r="O61" s="0" t="n">
        <v>23.22932</v>
      </c>
      <c r="P61" s="0" t="n">
        <v>23.33497</v>
      </c>
      <c r="Q61" s="0" t="n">
        <v>24.39539</v>
      </c>
      <c r="R61" s="0" t="n">
        <v>23.80656</v>
      </c>
      <c r="S61" s="0" t="n">
        <v>23.37796</v>
      </c>
      <c r="T61" s="0" t="n">
        <v>23.93993</v>
      </c>
      <c r="U61" s="0" t="n">
        <v>23.171</v>
      </c>
      <c r="V61" s="0" t="n">
        <v>23.2939</v>
      </c>
      <c r="W61" s="0" t="n">
        <v>23.60377</v>
      </c>
      <c r="X61" s="0" t="n">
        <v>23.55684</v>
      </c>
      <c r="Y61" s="0" t="n">
        <v>22.67532</v>
      </c>
      <c r="Z61" s="0" t="n">
        <v>23.13297</v>
      </c>
      <c r="AA61" s="0" t="n">
        <v>23.00137</v>
      </c>
      <c r="AB61" s="0" t="n">
        <v>23.26227</v>
      </c>
      <c r="AC61" s="0" t="n">
        <v>23.46849</v>
      </c>
      <c r="AD61" s="0" t="n">
        <v>22.87245</v>
      </c>
      <c r="AE61" s="0" t="n">
        <v>18</v>
      </c>
      <c r="AF61" s="0" t="n">
        <v>18</v>
      </c>
      <c r="AG61" s="0" t="n">
        <v>18</v>
      </c>
      <c r="AH61" s="0" t="n">
        <v>55.8</v>
      </c>
      <c r="AI61" s="0" t="n">
        <v>55.8</v>
      </c>
      <c r="AJ61" s="0" t="n">
        <v>55.8</v>
      </c>
      <c r="AK61" s="0" t="n">
        <v>51.676</v>
      </c>
      <c r="AL61" s="0" t="n">
        <v>0</v>
      </c>
      <c r="AM61" s="0" t="n">
        <v>323.31</v>
      </c>
      <c r="AN61" s="0" t="n">
        <v>439890000</v>
      </c>
      <c r="AO61" s="0" t="n">
        <v>414</v>
      </c>
      <c r="AP61" s="0" t="s">
        <v>321</v>
      </c>
      <c r="AQ61" s="0" t="s">
        <v>321</v>
      </c>
      <c r="AR61" s="0" t="s">
        <v>69</v>
      </c>
      <c r="AS61" s="0" t="s">
        <v>324</v>
      </c>
      <c r="AT61" s="0" t="s">
        <v>325</v>
      </c>
      <c r="AU61" s="0" t="n">
        <v>142</v>
      </c>
    </row>
    <row r="62" customFormat="false" ht="15" hidden="false" customHeight="false" outlineLevel="0" collapsed="false">
      <c r="A62" s="0" t="s">
        <v>329</v>
      </c>
      <c r="B62" s="0" t="s">
        <v>327</v>
      </c>
      <c r="C62" s="0" t="s">
        <v>328</v>
      </c>
      <c r="D62" s="0" t="n">
        <v>20.25753</v>
      </c>
      <c r="E62" s="0" t="n">
        <v>20.53602</v>
      </c>
      <c r="F62" s="0" t="n">
        <v>18.30768</v>
      </c>
      <c r="G62" s="0" t="n">
        <v>20.76061</v>
      </c>
      <c r="H62" s="0" t="n">
        <v>20.50543</v>
      </c>
      <c r="I62" s="0" t="n">
        <v>20.81613</v>
      </c>
      <c r="J62" s="0" t="n">
        <v>20.11337</v>
      </c>
      <c r="K62" s="0" t="n">
        <v>20.5871</v>
      </c>
      <c r="L62" s="0" t="n">
        <v>20.95971</v>
      </c>
      <c r="M62" s="0" t="n">
        <v>20.93121</v>
      </c>
      <c r="N62" s="0" t="n">
        <v>18.38229</v>
      </c>
      <c r="O62" s="0" t="n">
        <v>20.22694</v>
      </c>
      <c r="P62" s="0" t="n">
        <v>20.81495</v>
      </c>
      <c r="Q62" s="0" t="n">
        <v>19.18628</v>
      </c>
      <c r="R62" s="0" t="n">
        <v>20.52363</v>
      </c>
      <c r="S62" s="0" t="n">
        <v>20.69464</v>
      </c>
      <c r="T62" s="0" t="n">
        <v>20.98106</v>
      </c>
      <c r="U62" s="0" t="n">
        <v>21.01903</v>
      </c>
      <c r="V62" s="0" t="n">
        <v>21.03946</v>
      </c>
      <c r="W62" s="0" t="n">
        <v>20.84827</v>
      </c>
      <c r="X62" s="0" t="n">
        <v>21.63139</v>
      </c>
      <c r="Y62" s="0" t="n">
        <v>20.82314</v>
      </c>
      <c r="Z62" s="0" t="n">
        <v>20.14644</v>
      </c>
      <c r="AA62" s="0" t="n">
        <v>21.05676</v>
      </c>
      <c r="AB62" s="0" t="n">
        <v>21.20538</v>
      </c>
      <c r="AC62" s="0" t="n">
        <v>20.78796</v>
      </c>
      <c r="AD62" s="0" t="n">
        <v>21.38943</v>
      </c>
      <c r="AE62" s="0" t="n">
        <v>18</v>
      </c>
      <c r="AF62" s="0" t="n">
        <v>18</v>
      </c>
      <c r="AG62" s="0" t="n">
        <v>18</v>
      </c>
      <c r="AH62" s="0" t="n">
        <v>40.5</v>
      </c>
      <c r="AI62" s="0" t="n">
        <v>40.5</v>
      </c>
      <c r="AJ62" s="0" t="n">
        <v>40.5</v>
      </c>
      <c r="AK62" s="0" t="n">
        <v>67.033</v>
      </c>
      <c r="AL62" s="0" t="n">
        <v>0</v>
      </c>
      <c r="AM62" s="0" t="n">
        <v>323.31</v>
      </c>
      <c r="AN62" s="0" t="n">
        <v>68098000</v>
      </c>
      <c r="AO62" s="0" t="n">
        <v>180</v>
      </c>
      <c r="AP62" s="0" t="s">
        <v>326</v>
      </c>
      <c r="AQ62" s="0" t="s">
        <v>327</v>
      </c>
      <c r="AR62" s="0" t="s">
        <v>69</v>
      </c>
      <c r="AU62" s="0" t="n">
        <v>144</v>
      </c>
    </row>
    <row r="63" customFormat="false" ht="15" hidden="false" customHeight="false" outlineLevel="0" collapsed="false">
      <c r="A63" s="0" t="s">
        <v>333</v>
      </c>
      <c r="B63" s="0" t="s">
        <v>331</v>
      </c>
      <c r="C63" s="0" t="s">
        <v>332</v>
      </c>
      <c r="D63" s="0" t="n">
        <v>19.91624</v>
      </c>
      <c r="E63" s="0" t="n">
        <v>20.39571</v>
      </c>
      <c r="F63" s="0" t="n">
        <v>21.90588</v>
      </c>
      <c r="G63" s="0" t="n">
        <v>19.83254</v>
      </c>
      <c r="H63" s="0" t="n">
        <v>20.13069</v>
      </c>
      <c r="I63" s="0" t="n">
        <v>19.80431</v>
      </c>
      <c r="J63" s="0" t="n">
        <v>20.38795</v>
      </c>
      <c r="K63" s="0" t="n">
        <v>19.94192</v>
      </c>
      <c r="L63" s="0" t="n">
        <v>20.01468</v>
      </c>
      <c r="M63" s="0" t="n">
        <v>20.24412</v>
      </c>
      <c r="N63" s="0" t="n">
        <v>20.13721</v>
      </c>
      <c r="O63" s="0" t="n">
        <v>21.34218</v>
      </c>
      <c r="P63" s="0" t="n">
        <v>19.70423</v>
      </c>
      <c r="Q63" s="0" t="n">
        <v>20.92231</v>
      </c>
      <c r="R63" s="0" t="n">
        <v>20.42306</v>
      </c>
      <c r="S63" s="0" t="n">
        <v>19.52091</v>
      </c>
      <c r="T63" s="0" t="n">
        <v>20.10265</v>
      </c>
      <c r="U63" s="0" t="n">
        <v>19.53071</v>
      </c>
      <c r="V63" s="0" t="n">
        <v>20.00031</v>
      </c>
      <c r="W63" s="0" t="n">
        <v>19.88116</v>
      </c>
      <c r="X63" s="0" t="n">
        <v>19.91171</v>
      </c>
      <c r="Y63" s="0" t="n">
        <v>20.49804</v>
      </c>
      <c r="Z63" s="0" t="n">
        <v>19.82555</v>
      </c>
      <c r="AA63" s="0" t="n">
        <v>19.83929</v>
      </c>
      <c r="AB63" s="0" t="n">
        <v>19.51597</v>
      </c>
      <c r="AC63" s="0" t="n">
        <v>20.22729</v>
      </c>
      <c r="AD63" s="0" t="n">
        <v>19.78753</v>
      </c>
      <c r="AE63" s="0" t="n">
        <v>13</v>
      </c>
      <c r="AF63" s="0" t="n">
        <v>13</v>
      </c>
      <c r="AG63" s="0" t="n">
        <v>13</v>
      </c>
      <c r="AH63" s="0" t="n">
        <v>26.8</v>
      </c>
      <c r="AI63" s="0" t="n">
        <v>26.8</v>
      </c>
      <c r="AJ63" s="0" t="n">
        <v>26.8</v>
      </c>
      <c r="AK63" s="0" t="n">
        <v>54.305</v>
      </c>
      <c r="AL63" s="0" t="n">
        <v>0</v>
      </c>
      <c r="AM63" s="0" t="n">
        <v>302.8</v>
      </c>
      <c r="AN63" s="0" t="n">
        <v>48213000</v>
      </c>
      <c r="AO63" s="0" t="n">
        <v>135</v>
      </c>
      <c r="AP63" s="0" t="s">
        <v>330</v>
      </c>
      <c r="AQ63" s="0" t="s">
        <v>331</v>
      </c>
      <c r="AR63" s="0" t="s">
        <v>280</v>
      </c>
      <c r="AS63" s="0" t="n">
        <v>89</v>
      </c>
      <c r="AT63" s="0" t="n">
        <v>359</v>
      </c>
      <c r="AU63" s="0" t="n">
        <v>145</v>
      </c>
    </row>
    <row r="64" customFormat="false" ht="15" hidden="false" customHeight="false" outlineLevel="0" collapsed="false">
      <c r="A64" s="0" t="s">
        <v>337</v>
      </c>
      <c r="B64" s="0" t="s">
        <v>335</v>
      </c>
      <c r="C64" s="0" t="s">
        <v>336</v>
      </c>
      <c r="D64" s="0" t="n">
        <v>23.4051</v>
      </c>
      <c r="E64" s="0" t="n">
        <v>23.71712</v>
      </c>
      <c r="F64" s="0" t="n">
        <v>23.93256</v>
      </c>
      <c r="G64" s="0" t="n">
        <v>23.21614</v>
      </c>
      <c r="H64" s="0" t="n">
        <v>23.63123</v>
      </c>
      <c r="I64" s="0" t="n">
        <v>23.49777</v>
      </c>
      <c r="J64" s="0" t="n">
        <v>23.23631</v>
      </c>
      <c r="K64" s="0" t="n">
        <v>24.27789</v>
      </c>
      <c r="L64" s="0" t="n">
        <v>23.38087</v>
      </c>
      <c r="M64" s="0" t="n">
        <v>24.29235</v>
      </c>
      <c r="N64" s="0" t="n">
        <v>23.51593</v>
      </c>
      <c r="O64" s="0" t="n">
        <v>23.25782</v>
      </c>
      <c r="P64" s="0" t="n">
        <v>23.63522</v>
      </c>
      <c r="Q64" s="0" t="n">
        <v>24.67853</v>
      </c>
      <c r="R64" s="0" t="n">
        <v>23.87427</v>
      </c>
      <c r="S64" s="0" t="n">
        <v>23.73614</v>
      </c>
      <c r="T64" s="0" t="n">
        <v>23.453</v>
      </c>
      <c r="U64" s="0" t="n">
        <v>23.90353</v>
      </c>
      <c r="V64" s="0" t="n">
        <v>23.79074</v>
      </c>
      <c r="W64" s="0" t="n">
        <v>24.13806</v>
      </c>
      <c r="X64" s="0" t="n">
        <v>24.03053</v>
      </c>
      <c r="Y64" s="0" t="n">
        <v>23.59012</v>
      </c>
      <c r="Z64" s="0" t="n">
        <v>23.99697</v>
      </c>
      <c r="AA64" s="0" t="n">
        <v>24.1529</v>
      </c>
      <c r="AB64" s="0" t="n">
        <v>23.34055</v>
      </c>
      <c r="AC64" s="0" t="n">
        <v>24.24213</v>
      </c>
      <c r="AD64" s="0" t="n">
        <v>23.74212</v>
      </c>
      <c r="AE64" s="0" t="n">
        <v>163</v>
      </c>
      <c r="AF64" s="0" t="n">
        <v>163</v>
      </c>
      <c r="AG64" s="0" t="n">
        <v>163</v>
      </c>
      <c r="AH64" s="0" t="n">
        <v>48</v>
      </c>
      <c r="AI64" s="0" t="n">
        <v>48</v>
      </c>
      <c r="AJ64" s="0" t="n">
        <v>48</v>
      </c>
      <c r="AK64" s="0" t="n">
        <v>515.6</v>
      </c>
      <c r="AL64" s="0" t="n">
        <v>0</v>
      </c>
      <c r="AM64" s="0" t="n">
        <v>323.31</v>
      </c>
      <c r="AN64" s="0" t="n">
        <v>558430000</v>
      </c>
      <c r="AO64" s="0" t="n">
        <v>1439</v>
      </c>
      <c r="AP64" s="0" t="s">
        <v>334</v>
      </c>
      <c r="AQ64" s="0" t="s">
        <v>335</v>
      </c>
      <c r="AR64" s="0" t="s">
        <v>338</v>
      </c>
      <c r="AS64" s="0" t="s">
        <v>339</v>
      </c>
      <c r="AT64" s="0" t="s">
        <v>340</v>
      </c>
      <c r="AU64" s="0" t="n">
        <v>146</v>
      </c>
    </row>
    <row r="65" customFormat="false" ht="15" hidden="false" customHeight="false" outlineLevel="0" collapsed="false">
      <c r="A65" s="0" t="s">
        <v>343</v>
      </c>
      <c r="B65" s="0" t="s">
        <v>341</v>
      </c>
      <c r="C65" s="0" t="s">
        <v>342</v>
      </c>
      <c r="D65" s="0" t="n">
        <v>20.67323</v>
      </c>
      <c r="E65" s="0" t="n">
        <v>20.55366</v>
      </c>
      <c r="F65" s="0" t="n">
        <v>20.29827</v>
      </c>
      <c r="G65" s="0" t="n">
        <v>20.10955</v>
      </c>
      <c r="H65" s="0" t="n">
        <v>20.88338</v>
      </c>
      <c r="I65" s="0" t="n">
        <v>20.74501</v>
      </c>
      <c r="J65" s="0" t="n">
        <v>20.1317</v>
      </c>
      <c r="K65" s="0" t="n">
        <v>21.11769</v>
      </c>
      <c r="L65" s="0" t="n">
        <v>20.17341</v>
      </c>
      <c r="M65" s="0" t="n">
        <v>19.04759</v>
      </c>
      <c r="N65" s="0" t="n">
        <v>17.5418</v>
      </c>
      <c r="O65" s="0" t="n">
        <v>18.67635</v>
      </c>
      <c r="P65" s="0" t="n">
        <v>20.93948</v>
      </c>
      <c r="Q65" s="0" t="n">
        <v>22.78919</v>
      </c>
      <c r="R65" s="0" t="n">
        <v>20.41204</v>
      </c>
      <c r="S65" s="0" t="n">
        <v>20.14258</v>
      </c>
      <c r="T65" s="0" t="n">
        <v>21.38132</v>
      </c>
      <c r="U65" s="0" t="n">
        <v>21.17292</v>
      </c>
      <c r="V65" s="0" t="n">
        <v>20.27912</v>
      </c>
      <c r="W65" s="0" t="n">
        <v>20.24272</v>
      </c>
      <c r="X65" s="0" t="n">
        <v>20.8906</v>
      </c>
      <c r="Y65" s="0" t="n">
        <v>19.32419</v>
      </c>
      <c r="Z65" s="0" t="n">
        <v>21.04993</v>
      </c>
      <c r="AA65" s="0" t="n">
        <v>20.53905</v>
      </c>
      <c r="AB65" s="0" t="n">
        <v>20.12389</v>
      </c>
      <c r="AC65" s="0" t="n">
        <v>21.05966</v>
      </c>
      <c r="AD65" s="0" t="n">
        <v>19.6308</v>
      </c>
      <c r="AE65" s="0" t="n">
        <v>11</v>
      </c>
      <c r="AF65" s="0" t="n">
        <v>11</v>
      </c>
      <c r="AG65" s="0" t="n">
        <v>11</v>
      </c>
      <c r="AH65" s="0" t="n">
        <v>29.9</v>
      </c>
      <c r="AI65" s="0" t="n">
        <v>29.9</v>
      </c>
      <c r="AJ65" s="0" t="n">
        <v>29.9</v>
      </c>
      <c r="AK65" s="0" t="n">
        <v>59.578</v>
      </c>
      <c r="AL65" s="0" t="n">
        <v>0</v>
      </c>
      <c r="AM65" s="0" t="n">
        <v>74.233</v>
      </c>
      <c r="AN65" s="0" t="n">
        <v>58583000</v>
      </c>
      <c r="AO65" s="0" t="n">
        <v>144</v>
      </c>
      <c r="AP65" s="0" t="s">
        <v>341</v>
      </c>
      <c r="AQ65" s="0" t="s">
        <v>341</v>
      </c>
      <c r="AR65" s="0" t="s">
        <v>284</v>
      </c>
      <c r="AU65" s="0" t="n">
        <v>148</v>
      </c>
    </row>
    <row r="66" customFormat="false" ht="15" hidden="false" customHeight="false" outlineLevel="0" collapsed="false">
      <c r="A66" s="0" t="s">
        <v>347</v>
      </c>
      <c r="B66" s="0" t="s">
        <v>345</v>
      </c>
      <c r="C66" s="0" t="s">
        <v>346</v>
      </c>
      <c r="D66" s="0" t="n">
        <v>21.77471</v>
      </c>
      <c r="E66" s="0" t="n">
        <v>21.30975</v>
      </c>
      <c r="F66" s="0" t="n">
        <v>18.8065</v>
      </c>
      <c r="G66" s="0" t="n">
        <v>21.0357</v>
      </c>
      <c r="H66" s="0" t="n">
        <v>20.91342</v>
      </c>
      <c r="I66" s="0" t="n">
        <v>22.11197</v>
      </c>
      <c r="J66" s="0" t="n">
        <v>21.82159</v>
      </c>
      <c r="K66" s="0" t="n">
        <v>22.5855</v>
      </c>
      <c r="L66" s="0" t="n">
        <v>21.0436</v>
      </c>
      <c r="M66" s="0" t="n">
        <v>21.86318</v>
      </c>
      <c r="N66" s="0" t="n">
        <v>16.90912</v>
      </c>
      <c r="O66" s="0" t="n">
        <v>21.80821</v>
      </c>
      <c r="P66" s="0" t="n">
        <v>22.72621</v>
      </c>
      <c r="Q66" s="0" t="n">
        <v>22.3315</v>
      </c>
      <c r="R66" s="0" t="n">
        <v>20.94213</v>
      </c>
      <c r="S66" s="0" t="n">
        <v>21.90224</v>
      </c>
      <c r="T66" s="0" t="n">
        <v>22.26029</v>
      </c>
      <c r="U66" s="0" t="n">
        <v>22.16082</v>
      </c>
      <c r="V66" s="0" t="n">
        <v>21.39074</v>
      </c>
      <c r="W66" s="0" t="n">
        <v>21.36014</v>
      </c>
      <c r="X66" s="0" t="n">
        <v>21.64192</v>
      </c>
      <c r="Y66" s="0" t="n">
        <v>22.07297</v>
      </c>
      <c r="Z66" s="0" t="n">
        <v>22.19484</v>
      </c>
      <c r="AA66" s="0" t="n">
        <v>21.88383</v>
      </c>
      <c r="AB66" s="0" t="n">
        <v>22.1061</v>
      </c>
      <c r="AC66" s="0" t="n">
        <v>21.74016</v>
      </c>
      <c r="AD66" s="0" t="n">
        <v>22.62344</v>
      </c>
      <c r="AE66" s="0" t="n">
        <v>16</v>
      </c>
      <c r="AF66" s="0" t="n">
        <v>16</v>
      </c>
      <c r="AG66" s="0" t="n">
        <v>16</v>
      </c>
      <c r="AH66" s="0" t="n">
        <v>57.2</v>
      </c>
      <c r="AI66" s="0" t="n">
        <v>57.2</v>
      </c>
      <c r="AJ66" s="0" t="n">
        <v>57.2</v>
      </c>
      <c r="AK66" s="0" t="n">
        <v>54.253</v>
      </c>
      <c r="AL66" s="0" t="n">
        <v>0</v>
      </c>
      <c r="AM66" s="0" t="n">
        <v>323.31</v>
      </c>
      <c r="AN66" s="0" t="n">
        <v>128090000</v>
      </c>
      <c r="AO66" s="0" t="n">
        <v>207</v>
      </c>
      <c r="AP66" s="0" t="s">
        <v>344</v>
      </c>
      <c r="AQ66" s="0" t="s">
        <v>345</v>
      </c>
      <c r="AR66" s="0" t="s">
        <v>110</v>
      </c>
      <c r="AU66" s="0" t="n">
        <v>149</v>
      </c>
    </row>
    <row r="67" customFormat="false" ht="15" hidden="false" customHeight="false" outlineLevel="0" collapsed="false">
      <c r="A67" s="0" t="s">
        <v>351</v>
      </c>
      <c r="B67" s="0" t="s">
        <v>349</v>
      </c>
      <c r="C67" s="0" t="s">
        <v>350</v>
      </c>
      <c r="D67" s="0" t="n">
        <v>15.82677</v>
      </c>
      <c r="E67" s="0" t="n">
        <v>15.99811</v>
      </c>
      <c r="F67" s="0" t="n">
        <v>17.62185</v>
      </c>
      <c r="G67" s="0" t="n">
        <v>13.41681</v>
      </c>
      <c r="H67" s="0" t="n">
        <v>15.58986</v>
      </c>
      <c r="I67" s="0" t="n">
        <v>14.78346</v>
      </c>
      <c r="J67" s="0" t="n">
        <v>14.98678</v>
      </c>
      <c r="K67" s="0" t="n">
        <v>15.6836</v>
      </c>
      <c r="L67" s="0" t="n">
        <v>15.30773</v>
      </c>
      <c r="M67" s="0" t="n">
        <v>13.84495</v>
      </c>
      <c r="N67" s="0" t="n">
        <v>15.95567</v>
      </c>
      <c r="O67" s="0" t="n">
        <v>13.48079</v>
      </c>
      <c r="P67" s="0" t="n">
        <v>14.91424</v>
      </c>
      <c r="Q67" s="0" t="n">
        <v>16.43359</v>
      </c>
      <c r="R67" s="0" t="n">
        <v>14.42482</v>
      </c>
      <c r="S67" s="0" t="n">
        <v>14.95374</v>
      </c>
      <c r="T67" s="0" t="n">
        <v>15.36782</v>
      </c>
      <c r="U67" s="0" t="n">
        <v>15.29182</v>
      </c>
      <c r="V67" s="0" t="n">
        <v>15.1159</v>
      </c>
      <c r="W67" s="0" t="n">
        <v>15.63226</v>
      </c>
      <c r="X67" s="0" t="n">
        <v>14.6831</v>
      </c>
      <c r="Y67" s="0" t="n">
        <v>14.42913</v>
      </c>
      <c r="Z67" s="0" t="n">
        <v>15.97264</v>
      </c>
      <c r="AA67" s="0" t="n">
        <v>15.2467</v>
      </c>
      <c r="AB67" s="0" t="n">
        <v>15.16922</v>
      </c>
      <c r="AC67" s="0" t="n">
        <v>15.51286</v>
      </c>
      <c r="AD67" s="0" t="n">
        <v>15.58924</v>
      </c>
      <c r="AE67" s="0" t="n">
        <v>5</v>
      </c>
      <c r="AF67" s="0" t="n">
        <v>5</v>
      </c>
      <c r="AG67" s="0" t="n">
        <v>5</v>
      </c>
      <c r="AH67" s="0" t="n">
        <v>15.3</v>
      </c>
      <c r="AI67" s="0" t="n">
        <v>15.3</v>
      </c>
      <c r="AJ67" s="0" t="n">
        <v>15.3</v>
      </c>
      <c r="AK67" s="0" t="n">
        <v>45.674</v>
      </c>
      <c r="AL67" s="0" t="n">
        <v>0</v>
      </c>
      <c r="AM67" s="0" t="n">
        <v>5.9462</v>
      </c>
      <c r="AN67" s="0" t="n">
        <v>1294400</v>
      </c>
      <c r="AO67" s="0" t="n">
        <v>21</v>
      </c>
      <c r="AP67" s="0" t="s">
        <v>348</v>
      </c>
      <c r="AQ67" s="0" t="s">
        <v>349</v>
      </c>
      <c r="AR67" s="0" t="s">
        <v>87</v>
      </c>
      <c r="AU67" s="0" t="n">
        <v>151</v>
      </c>
    </row>
    <row r="68" customFormat="false" ht="15" hidden="false" customHeight="false" outlineLevel="0" collapsed="false">
      <c r="A68" s="0" t="s">
        <v>355</v>
      </c>
      <c r="B68" s="0" t="s">
        <v>353</v>
      </c>
      <c r="C68" s="0" t="s">
        <v>354</v>
      </c>
      <c r="D68" s="0" t="n">
        <v>19.23582</v>
      </c>
      <c r="E68" s="0" t="n">
        <v>19.30247</v>
      </c>
      <c r="F68" s="0" t="n">
        <v>21.40561</v>
      </c>
      <c r="G68" s="0" t="n">
        <v>19.54958</v>
      </c>
      <c r="H68" s="0" t="n">
        <v>19.08672</v>
      </c>
      <c r="I68" s="0" t="n">
        <v>19.52396</v>
      </c>
      <c r="J68" s="0" t="n">
        <v>19.82627</v>
      </c>
      <c r="K68" s="0" t="n">
        <v>19.04793</v>
      </c>
      <c r="L68" s="0" t="n">
        <v>20.71137</v>
      </c>
      <c r="M68" s="0" t="n">
        <v>20.99155</v>
      </c>
      <c r="N68" s="0" t="n">
        <v>20.21169</v>
      </c>
      <c r="O68" s="0" t="n">
        <v>19.9402</v>
      </c>
      <c r="P68" s="0" t="n">
        <v>18.12787</v>
      </c>
      <c r="Q68" s="0" t="n">
        <v>23.1207</v>
      </c>
      <c r="R68" s="0" t="n">
        <v>20.80774</v>
      </c>
      <c r="S68" s="0" t="n">
        <v>19.02969</v>
      </c>
      <c r="T68" s="0" t="n">
        <v>19.39528</v>
      </c>
      <c r="U68" s="0" t="n">
        <v>19.27242</v>
      </c>
      <c r="V68" s="0" t="n">
        <v>19.64135</v>
      </c>
      <c r="W68" s="0" t="n">
        <v>19.67275</v>
      </c>
      <c r="X68" s="0" t="n">
        <v>19.4521</v>
      </c>
      <c r="Y68" s="0" t="n">
        <v>19.06329</v>
      </c>
      <c r="Z68" s="0" t="n">
        <v>18.96531</v>
      </c>
      <c r="AA68" s="0" t="n">
        <v>18.52929</v>
      </c>
      <c r="AB68" s="0" t="n">
        <v>18.68815</v>
      </c>
      <c r="AC68" s="0" t="n">
        <v>19.17553</v>
      </c>
      <c r="AD68" s="0" t="n">
        <v>18.4309</v>
      </c>
      <c r="AE68" s="0" t="n">
        <v>10</v>
      </c>
      <c r="AF68" s="0" t="n">
        <v>10</v>
      </c>
      <c r="AG68" s="0" t="n">
        <v>10</v>
      </c>
      <c r="AH68" s="0" t="n">
        <v>23.2</v>
      </c>
      <c r="AI68" s="0" t="n">
        <v>23.2</v>
      </c>
      <c r="AJ68" s="0" t="n">
        <v>23.2</v>
      </c>
      <c r="AK68" s="0" t="n">
        <v>49.757</v>
      </c>
      <c r="AL68" s="0" t="n">
        <v>0</v>
      </c>
      <c r="AM68" s="0" t="n">
        <v>64.222</v>
      </c>
      <c r="AN68" s="0" t="n">
        <v>44474000</v>
      </c>
      <c r="AO68" s="0" t="n">
        <v>112</v>
      </c>
      <c r="AP68" s="0" t="s">
        <v>352</v>
      </c>
      <c r="AQ68" s="0" t="s">
        <v>353</v>
      </c>
      <c r="AR68" s="0" t="s">
        <v>145</v>
      </c>
      <c r="AS68" s="0" t="n">
        <v>101</v>
      </c>
      <c r="AT68" s="0" t="n">
        <v>357</v>
      </c>
      <c r="AU68" s="0" t="n">
        <v>152</v>
      </c>
    </row>
    <row r="69" customFormat="false" ht="15" hidden="false" customHeight="false" outlineLevel="0" collapsed="false">
      <c r="A69" s="0" t="s">
        <v>358</v>
      </c>
      <c r="B69" s="0" t="s">
        <v>356</v>
      </c>
      <c r="C69" s="0" t="s">
        <v>357</v>
      </c>
      <c r="D69" s="0" t="n">
        <v>16.02046</v>
      </c>
      <c r="E69" s="0" t="n">
        <v>15.7902</v>
      </c>
      <c r="F69" s="0" t="n">
        <v>17.31857</v>
      </c>
      <c r="G69" s="0" t="n">
        <v>15.55219</v>
      </c>
      <c r="H69" s="0" t="n">
        <v>16.12434</v>
      </c>
      <c r="I69" s="0" t="n">
        <v>15.9681</v>
      </c>
      <c r="J69" s="0" t="n">
        <v>15.68294</v>
      </c>
      <c r="K69" s="0" t="n">
        <v>15.90616</v>
      </c>
      <c r="L69" s="0" t="n">
        <v>16.61999</v>
      </c>
      <c r="M69" s="0" t="n">
        <v>16.52595</v>
      </c>
      <c r="N69" s="0" t="n">
        <v>17.14049</v>
      </c>
      <c r="O69" s="0" t="n">
        <v>15.90221</v>
      </c>
      <c r="P69" s="0" t="n">
        <v>15.48963</v>
      </c>
      <c r="Q69" s="0" t="n">
        <v>16.82588</v>
      </c>
      <c r="R69" s="0" t="n">
        <v>16.2439</v>
      </c>
      <c r="S69" s="0" t="n">
        <v>15.73026</v>
      </c>
      <c r="T69" s="0" t="n">
        <v>15.51859</v>
      </c>
      <c r="U69" s="0" t="n">
        <v>15.63138</v>
      </c>
      <c r="V69" s="0" t="n">
        <v>16.02215</v>
      </c>
      <c r="W69" s="0" t="n">
        <v>16.05219</v>
      </c>
      <c r="X69" s="0" t="n">
        <v>16.93041</v>
      </c>
      <c r="Y69" s="0" t="n">
        <v>16.85404</v>
      </c>
      <c r="Z69" s="0" t="n">
        <v>17.3617</v>
      </c>
      <c r="AA69" s="0" t="n">
        <v>17.03628</v>
      </c>
      <c r="AB69" s="0" t="n">
        <v>16.76046</v>
      </c>
      <c r="AC69" s="0" t="n">
        <v>16.6986</v>
      </c>
      <c r="AD69" s="0" t="n">
        <v>16.68099</v>
      </c>
      <c r="AE69" s="0" t="n">
        <v>8</v>
      </c>
      <c r="AF69" s="0" t="n">
        <v>8</v>
      </c>
      <c r="AG69" s="0" t="n">
        <v>8</v>
      </c>
      <c r="AH69" s="0" t="n">
        <v>21.5</v>
      </c>
      <c r="AI69" s="0" t="n">
        <v>21.5</v>
      </c>
      <c r="AJ69" s="0" t="n">
        <v>21.5</v>
      </c>
      <c r="AK69" s="0" t="n">
        <v>75.51</v>
      </c>
      <c r="AL69" s="0" t="n">
        <v>0</v>
      </c>
      <c r="AM69" s="0" t="n">
        <v>17.028</v>
      </c>
      <c r="AN69" s="0" t="n">
        <v>2657500</v>
      </c>
      <c r="AO69" s="0" t="n">
        <v>18</v>
      </c>
      <c r="AP69" s="0" t="s">
        <v>356</v>
      </c>
      <c r="AQ69" s="0" t="s">
        <v>356</v>
      </c>
      <c r="AR69" s="0" t="s">
        <v>296</v>
      </c>
      <c r="AU69" s="0" t="n">
        <v>153</v>
      </c>
    </row>
    <row r="70" customFormat="false" ht="15" hidden="false" customHeight="false" outlineLevel="0" collapsed="false">
      <c r="A70" s="0" t="s">
        <v>362</v>
      </c>
      <c r="B70" s="0" t="s">
        <v>360</v>
      </c>
      <c r="C70" s="0" t="s">
        <v>361</v>
      </c>
      <c r="D70" s="0" t="n">
        <v>17.59921</v>
      </c>
      <c r="E70" s="0" t="n">
        <v>17.56993</v>
      </c>
      <c r="F70" s="0" t="n">
        <v>16.61693</v>
      </c>
      <c r="G70" s="0" t="n">
        <v>17.6888</v>
      </c>
      <c r="H70" s="0" t="n">
        <v>17.4855</v>
      </c>
      <c r="I70" s="0" t="n">
        <v>19.05698</v>
      </c>
      <c r="J70" s="0" t="n">
        <v>17.58241</v>
      </c>
      <c r="K70" s="0" t="n">
        <v>18.11949</v>
      </c>
      <c r="L70" s="0" t="n">
        <v>17.98092</v>
      </c>
      <c r="M70" s="0" t="n">
        <v>14.05027</v>
      </c>
      <c r="N70" s="0" t="n">
        <v>16.87931</v>
      </c>
      <c r="O70" s="0" t="n">
        <v>19.57653</v>
      </c>
      <c r="P70" s="0" t="n">
        <v>18.32342</v>
      </c>
      <c r="Q70" s="0" t="n">
        <v>19.30697</v>
      </c>
      <c r="R70" s="0" t="n">
        <v>17.66261</v>
      </c>
      <c r="S70" s="0" t="n">
        <v>17.45796</v>
      </c>
      <c r="T70" s="0" t="n">
        <v>18.20409</v>
      </c>
      <c r="U70" s="0" t="n">
        <v>17.97858</v>
      </c>
      <c r="V70" s="0" t="n">
        <v>17.93853</v>
      </c>
      <c r="W70" s="0" t="n">
        <v>17.33961</v>
      </c>
      <c r="X70" s="0" t="n">
        <v>17.31168</v>
      </c>
      <c r="Y70" s="0" t="n">
        <v>17.98382</v>
      </c>
      <c r="Z70" s="0" t="n">
        <v>18.41988</v>
      </c>
      <c r="AA70" s="0" t="n">
        <v>18.20834</v>
      </c>
      <c r="AB70" s="0" t="n">
        <v>18.47171</v>
      </c>
      <c r="AC70" s="0" t="n">
        <v>18.21</v>
      </c>
      <c r="AD70" s="0" t="n">
        <v>18.71488</v>
      </c>
      <c r="AE70" s="0" t="n">
        <v>6</v>
      </c>
      <c r="AF70" s="0" t="n">
        <v>6</v>
      </c>
      <c r="AG70" s="0" t="n">
        <v>6</v>
      </c>
      <c r="AH70" s="0" t="n">
        <v>21.2</v>
      </c>
      <c r="AI70" s="0" t="n">
        <v>21.2</v>
      </c>
      <c r="AJ70" s="0" t="n">
        <v>21.2</v>
      </c>
      <c r="AK70" s="0" t="n">
        <v>46.324</v>
      </c>
      <c r="AL70" s="0" t="n">
        <v>0</v>
      </c>
      <c r="AM70" s="0" t="n">
        <v>4.9845</v>
      </c>
      <c r="AN70" s="0" t="n">
        <v>9658300</v>
      </c>
      <c r="AO70" s="0" t="n">
        <v>16</v>
      </c>
      <c r="AP70" s="0" t="s">
        <v>359</v>
      </c>
      <c r="AQ70" s="0" t="s">
        <v>360</v>
      </c>
      <c r="AR70" s="0" t="s">
        <v>155</v>
      </c>
      <c r="AU70" s="0" t="n">
        <v>154</v>
      </c>
    </row>
    <row r="71" customFormat="false" ht="15" hidden="false" customHeight="false" outlineLevel="0" collapsed="false">
      <c r="A71" s="0" t="s">
        <v>366</v>
      </c>
      <c r="B71" s="0" t="s">
        <v>364</v>
      </c>
      <c r="C71" s="0" t="s">
        <v>365</v>
      </c>
      <c r="D71" s="0" t="n">
        <v>18.05944</v>
      </c>
      <c r="E71" s="0" t="n">
        <v>18.7291</v>
      </c>
      <c r="F71" s="0" t="n">
        <v>17.40116</v>
      </c>
      <c r="G71" s="0" t="n">
        <v>17.94318</v>
      </c>
      <c r="H71" s="0" t="n">
        <v>18.60675</v>
      </c>
      <c r="I71" s="0" t="n">
        <v>17.94392</v>
      </c>
      <c r="J71" s="0" t="n">
        <v>18.93163</v>
      </c>
      <c r="K71" s="0" t="n">
        <v>19.06361</v>
      </c>
      <c r="L71" s="0" t="n">
        <v>17.90906</v>
      </c>
      <c r="M71" s="0" t="n">
        <v>19.59685</v>
      </c>
      <c r="N71" s="0" t="n">
        <v>16.78227</v>
      </c>
      <c r="O71" s="0" t="n">
        <v>19.86814</v>
      </c>
      <c r="P71" s="0" t="n">
        <v>19.28281</v>
      </c>
      <c r="Q71" s="0" t="n">
        <v>18.8593</v>
      </c>
      <c r="R71" s="0" t="n">
        <v>19.58127</v>
      </c>
      <c r="S71" s="0" t="n">
        <v>19.39412</v>
      </c>
      <c r="T71" s="0" t="n">
        <v>18.9598</v>
      </c>
      <c r="U71" s="0" t="n">
        <v>19.26075</v>
      </c>
      <c r="V71" s="0" t="n">
        <v>18.98624</v>
      </c>
      <c r="W71" s="0" t="n">
        <v>18.86097</v>
      </c>
      <c r="X71" s="0" t="n">
        <v>19.94692</v>
      </c>
      <c r="Y71" s="0" t="n">
        <v>19.32518</v>
      </c>
      <c r="Z71" s="0" t="n">
        <v>19.11589</v>
      </c>
      <c r="AA71" s="0" t="n">
        <v>19.17616</v>
      </c>
      <c r="AB71" s="0" t="n">
        <v>19.15889</v>
      </c>
      <c r="AC71" s="0" t="n">
        <v>18.48625</v>
      </c>
      <c r="AD71" s="0" t="n">
        <v>19.39475</v>
      </c>
      <c r="AE71" s="0" t="n">
        <v>13</v>
      </c>
      <c r="AF71" s="0" t="n">
        <v>13</v>
      </c>
      <c r="AG71" s="0" t="n">
        <v>13</v>
      </c>
      <c r="AH71" s="0" t="n">
        <v>29.9</v>
      </c>
      <c r="AI71" s="0" t="n">
        <v>29.9</v>
      </c>
      <c r="AJ71" s="0" t="n">
        <v>29.9</v>
      </c>
      <c r="AK71" s="0" t="n">
        <v>57.07</v>
      </c>
      <c r="AL71" s="0" t="n">
        <v>0</v>
      </c>
      <c r="AM71" s="0" t="n">
        <v>323.31</v>
      </c>
      <c r="AN71" s="0" t="n">
        <v>20918000</v>
      </c>
      <c r="AO71" s="0" t="n">
        <v>94</v>
      </c>
      <c r="AP71" s="0" t="s">
        <v>363</v>
      </c>
      <c r="AQ71" s="0" t="s">
        <v>364</v>
      </c>
      <c r="AR71" s="0" t="s">
        <v>280</v>
      </c>
      <c r="AS71" s="0" t="n">
        <v>102</v>
      </c>
      <c r="AT71" s="0" t="n">
        <v>424</v>
      </c>
      <c r="AU71" s="0" t="n">
        <v>155</v>
      </c>
    </row>
    <row r="72" customFormat="false" ht="15" hidden="false" customHeight="false" outlineLevel="0" collapsed="false">
      <c r="A72" s="0" t="s">
        <v>370</v>
      </c>
      <c r="B72" s="0" t="s">
        <v>368</v>
      </c>
      <c r="C72" s="0" t="s">
        <v>369</v>
      </c>
      <c r="D72" s="0" t="n">
        <v>16.0111</v>
      </c>
      <c r="E72" s="0" t="n">
        <v>16.82799</v>
      </c>
      <c r="F72" s="0" t="n">
        <v>16.42028</v>
      </c>
      <c r="G72" s="0" t="n">
        <v>16.33703</v>
      </c>
      <c r="H72" s="0" t="n">
        <v>16.45189</v>
      </c>
      <c r="I72" s="0" t="n">
        <v>16.58939</v>
      </c>
      <c r="J72" s="0" t="n">
        <v>16.15284</v>
      </c>
      <c r="K72" s="0" t="n">
        <v>16.54447</v>
      </c>
      <c r="L72" s="0" t="n">
        <v>16.22485</v>
      </c>
      <c r="M72" s="0" t="n">
        <v>16.57512</v>
      </c>
      <c r="N72" s="0" t="n">
        <v>17.31855</v>
      </c>
      <c r="O72" s="0" t="n">
        <v>16.26827</v>
      </c>
      <c r="P72" s="0" t="n">
        <v>16.53682</v>
      </c>
      <c r="Q72" s="0" t="n">
        <v>17.68408</v>
      </c>
      <c r="R72" s="0" t="n">
        <v>16.1872</v>
      </c>
      <c r="S72" s="0" t="n">
        <v>16.61439</v>
      </c>
      <c r="T72" s="0" t="n">
        <v>16.96296</v>
      </c>
      <c r="U72" s="0" t="n">
        <v>16.47002</v>
      </c>
      <c r="V72" s="0" t="n">
        <v>16.0956</v>
      </c>
      <c r="W72" s="0" t="n">
        <v>16.51143</v>
      </c>
      <c r="X72" s="0" t="n">
        <v>15.60322</v>
      </c>
      <c r="Y72" s="0" t="n">
        <v>16.64202</v>
      </c>
      <c r="Z72" s="0" t="n">
        <v>16.56254</v>
      </c>
      <c r="AA72" s="0" t="n">
        <v>18.69636</v>
      </c>
      <c r="AB72" s="0" t="n">
        <v>17.71827</v>
      </c>
      <c r="AC72" s="0" t="n">
        <v>16.91684</v>
      </c>
      <c r="AD72" s="0" t="n">
        <v>17.70725</v>
      </c>
      <c r="AE72" s="0" t="n">
        <v>8</v>
      </c>
      <c r="AF72" s="0" t="n">
        <v>8</v>
      </c>
      <c r="AG72" s="0" t="n">
        <v>8</v>
      </c>
      <c r="AH72" s="0" t="n">
        <v>19.4</v>
      </c>
      <c r="AI72" s="0" t="n">
        <v>19.4</v>
      </c>
      <c r="AJ72" s="0" t="n">
        <v>19.4</v>
      </c>
      <c r="AK72" s="0" t="n">
        <v>68.417</v>
      </c>
      <c r="AL72" s="0" t="n">
        <v>0</v>
      </c>
      <c r="AM72" s="0" t="n">
        <v>5.836</v>
      </c>
      <c r="AN72" s="0" t="n">
        <v>3681600</v>
      </c>
      <c r="AO72" s="0" t="n">
        <v>15</v>
      </c>
      <c r="AP72" s="0" t="s">
        <v>367</v>
      </c>
      <c r="AQ72" s="0" t="s">
        <v>368</v>
      </c>
      <c r="AR72" s="0" t="s">
        <v>296</v>
      </c>
      <c r="AU72" s="0" t="n">
        <v>156</v>
      </c>
    </row>
    <row r="73" customFormat="false" ht="15" hidden="false" customHeight="false" outlineLevel="0" collapsed="false">
      <c r="A73" s="0" t="s">
        <v>374</v>
      </c>
      <c r="B73" s="0" t="s">
        <v>372</v>
      </c>
      <c r="C73" s="0" t="s">
        <v>373</v>
      </c>
      <c r="D73" s="0" t="n">
        <v>20.59732</v>
      </c>
      <c r="E73" s="0" t="n">
        <v>20.80806</v>
      </c>
      <c r="F73" s="0" t="n">
        <v>21.12723</v>
      </c>
      <c r="G73" s="0" t="n">
        <v>20.82734</v>
      </c>
      <c r="H73" s="0" t="n">
        <v>20.50475</v>
      </c>
      <c r="I73" s="0" t="n">
        <v>21.24806</v>
      </c>
      <c r="J73" s="0" t="n">
        <v>20.79463</v>
      </c>
      <c r="K73" s="0" t="n">
        <v>20.48738</v>
      </c>
      <c r="L73" s="0" t="n">
        <v>20.82734</v>
      </c>
      <c r="M73" s="0" t="n">
        <v>20.18544</v>
      </c>
      <c r="N73" s="0" t="n">
        <v>19.13263</v>
      </c>
      <c r="O73" s="0" t="n">
        <v>20.22235</v>
      </c>
      <c r="P73" s="0" t="n">
        <v>19.27449</v>
      </c>
      <c r="Q73" s="0" t="n">
        <v>21.22317</v>
      </c>
      <c r="R73" s="0" t="n">
        <v>20.81964</v>
      </c>
      <c r="S73" s="0" t="n">
        <v>19.73089</v>
      </c>
      <c r="T73" s="0" t="n">
        <v>21.36303</v>
      </c>
      <c r="U73" s="0" t="n">
        <v>20.35917</v>
      </c>
      <c r="V73" s="0" t="n">
        <v>19.61481</v>
      </c>
      <c r="W73" s="0" t="n">
        <v>19.97533</v>
      </c>
      <c r="X73" s="0" t="n">
        <v>21.0547</v>
      </c>
      <c r="Y73" s="0" t="n">
        <v>19.64688</v>
      </c>
      <c r="Z73" s="0" t="n">
        <v>21.10463</v>
      </c>
      <c r="AA73" s="0" t="n">
        <v>20.54217</v>
      </c>
      <c r="AB73" s="0" t="n">
        <v>20.50611</v>
      </c>
      <c r="AC73" s="0" t="n">
        <v>21.02763</v>
      </c>
      <c r="AD73" s="0" t="n">
        <v>18.90448</v>
      </c>
      <c r="AE73" s="0" t="n">
        <v>22</v>
      </c>
      <c r="AF73" s="0" t="n">
        <v>22</v>
      </c>
      <c r="AG73" s="0" t="n">
        <v>22</v>
      </c>
      <c r="AH73" s="0" t="n">
        <v>57.3</v>
      </c>
      <c r="AI73" s="0" t="n">
        <v>57.3</v>
      </c>
      <c r="AJ73" s="0" t="n">
        <v>57.3</v>
      </c>
      <c r="AK73" s="0" t="n">
        <v>45.398</v>
      </c>
      <c r="AL73" s="0" t="n">
        <v>0</v>
      </c>
      <c r="AM73" s="0" t="n">
        <v>323.31</v>
      </c>
      <c r="AN73" s="0" t="n">
        <v>61089000</v>
      </c>
      <c r="AO73" s="0" t="n">
        <v>167</v>
      </c>
      <c r="AP73" s="0" t="s">
        <v>371</v>
      </c>
      <c r="AQ73" s="0" t="s">
        <v>372</v>
      </c>
      <c r="AR73" s="0" t="s">
        <v>375</v>
      </c>
      <c r="AS73" s="0" t="n">
        <v>103</v>
      </c>
      <c r="AT73" s="0" t="n">
        <v>322</v>
      </c>
      <c r="AU73" s="0" t="n">
        <v>159</v>
      </c>
    </row>
    <row r="74" customFormat="false" ht="15" hidden="false" customHeight="false" outlineLevel="0" collapsed="false">
      <c r="A74" s="0" t="s">
        <v>379</v>
      </c>
      <c r="B74" s="0" t="s">
        <v>377</v>
      </c>
      <c r="C74" s="0" t="s">
        <v>378</v>
      </c>
      <c r="D74" s="0" t="n">
        <v>17.76578</v>
      </c>
      <c r="E74" s="0" t="n">
        <v>18.45004</v>
      </c>
      <c r="F74" s="0" t="n">
        <v>18.42521</v>
      </c>
      <c r="G74" s="0" t="n">
        <v>18.06287</v>
      </c>
      <c r="H74" s="0" t="n">
        <v>18.06055</v>
      </c>
      <c r="I74" s="0" t="n">
        <v>18.37954</v>
      </c>
      <c r="J74" s="0" t="n">
        <v>18.24776</v>
      </c>
      <c r="K74" s="0" t="n">
        <v>18.98198</v>
      </c>
      <c r="L74" s="0" t="n">
        <v>17.87316</v>
      </c>
      <c r="M74" s="0" t="n">
        <v>17.11452</v>
      </c>
      <c r="N74" s="0" t="n">
        <v>16.39942</v>
      </c>
      <c r="O74" s="0" t="n">
        <v>17.66588</v>
      </c>
      <c r="P74" s="0" t="n">
        <v>18.30474</v>
      </c>
      <c r="Q74" s="0" t="n">
        <v>16.41277</v>
      </c>
      <c r="R74" s="0" t="n">
        <v>17.87117</v>
      </c>
      <c r="S74" s="0" t="n">
        <v>18.5126</v>
      </c>
      <c r="T74" s="0" t="n">
        <v>18.78449</v>
      </c>
      <c r="U74" s="0" t="n">
        <v>18.58226</v>
      </c>
      <c r="V74" s="0" t="n">
        <v>18.132</v>
      </c>
      <c r="W74" s="0" t="n">
        <v>18.49451</v>
      </c>
      <c r="X74" s="0" t="n">
        <v>19.50219</v>
      </c>
      <c r="Y74" s="0" t="n">
        <v>18.09151</v>
      </c>
      <c r="Z74" s="0" t="n">
        <v>18.6131</v>
      </c>
      <c r="AA74" s="0" t="n">
        <v>18.845</v>
      </c>
      <c r="AB74" s="0" t="n">
        <v>19.01838</v>
      </c>
      <c r="AC74" s="0" t="n">
        <v>18.54359</v>
      </c>
      <c r="AD74" s="0" t="n">
        <v>19.36072</v>
      </c>
      <c r="AE74" s="0" t="n">
        <v>13</v>
      </c>
      <c r="AF74" s="0" t="n">
        <v>13</v>
      </c>
      <c r="AG74" s="0" t="n">
        <v>13</v>
      </c>
      <c r="AH74" s="0" t="n">
        <v>25.7</v>
      </c>
      <c r="AI74" s="0" t="n">
        <v>25.7</v>
      </c>
      <c r="AJ74" s="0" t="n">
        <v>25.7</v>
      </c>
      <c r="AK74" s="0" t="n">
        <v>75.122</v>
      </c>
      <c r="AL74" s="0" t="n">
        <v>0</v>
      </c>
      <c r="AM74" s="0" t="n">
        <v>45.994</v>
      </c>
      <c r="AN74" s="0" t="n">
        <v>12547000</v>
      </c>
      <c r="AO74" s="0" t="n">
        <v>66</v>
      </c>
      <c r="AP74" s="0" t="s">
        <v>376</v>
      </c>
      <c r="AQ74" s="0" t="s">
        <v>377</v>
      </c>
      <c r="AR74" s="0" t="s">
        <v>280</v>
      </c>
      <c r="AU74" s="0" t="n">
        <v>160</v>
      </c>
    </row>
    <row r="75" customFormat="false" ht="15" hidden="false" customHeight="false" outlineLevel="0" collapsed="false">
      <c r="A75" s="0" t="s">
        <v>382</v>
      </c>
      <c r="B75" s="0" t="s">
        <v>380</v>
      </c>
      <c r="C75" s="0" t="s">
        <v>381</v>
      </c>
      <c r="D75" s="0" t="n">
        <v>16.20149</v>
      </c>
      <c r="E75" s="0" t="n">
        <v>16.26224</v>
      </c>
      <c r="F75" s="0" t="n">
        <v>16.77483</v>
      </c>
      <c r="G75" s="0" t="n">
        <v>16.44121</v>
      </c>
      <c r="H75" s="0" t="n">
        <v>16.71585</v>
      </c>
      <c r="I75" s="0" t="n">
        <v>16.5448</v>
      </c>
      <c r="J75" s="0" t="n">
        <v>17.64343</v>
      </c>
      <c r="K75" s="0" t="n">
        <v>16.31308</v>
      </c>
      <c r="L75" s="0" t="n">
        <v>16.6851</v>
      </c>
      <c r="M75" s="0" t="n">
        <v>17.74944</v>
      </c>
      <c r="N75" s="0" t="n">
        <v>17.77538</v>
      </c>
      <c r="O75" s="0" t="n">
        <v>18.04655</v>
      </c>
      <c r="P75" s="0" t="n">
        <v>16.8129</v>
      </c>
      <c r="Q75" s="0" t="n">
        <v>17.27703</v>
      </c>
      <c r="R75" s="0" t="n">
        <v>18.48306</v>
      </c>
      <c r="S75" s="0" t="n">
        <v>16.4145</v>
      </c>
      <c r="T75" s="0" t="n">
        <v>16.74859</v>
      </c>
      <c r="U75" s="0" t="n">
        <v>16.17857</v>
      </c>
      <c r="V75" s="0" t="n">
        <v>16.42216</v>
      </c>
      <c r="W75" s="0" t="n">
        <v>16.48651</v>
      </c>
      <c r="X75" s="0" t="n">
        <v>17.43949</v>
      </c>
      <c r="Y75" s="0" t="n">
        <v>16.27132</v>
      </c>
      <c r="Z75" s="0" t="n">
        <v>17.62092</v>
      </c>
      <c r="AA75" s="0" t="n">
        <v>17.70286</v>
      </c>
      <c r="AB75" s="0" t="n">
        <v>17.85075</v>
      </c>
      <c r="AC75" s="0" t="n">
        <v>17.26114</v>
      </c>
      <c r="AD75" s="0" t="n">
        <v>18.12182</v>
      </c>
      <c r="AE75" s="0" t="n">
        <v>12</v>
      </c>
      <c r="AF75" s="0" t="n">
        <v>12</v>
      </c>
      <c r="AG75" s="0" t="n">
        <v>12</v>
      </c>
      <c r="AH75" s="0" t="n">
        <v>30.5</v>
      </c>
      <c r="AI75" s="0" t="n">
        <v>30.5</v>
      </c>
      <c r="AJ75" s="0" t="n">
        <v>30.5</v>
      </c>
      <c r="AK75" s="0" t="n">
        <v>65.163</v>
      </c>
      <c r="AL75" s="0" t="n">
        <v>0</v>
      </c>
      <c r="AM75" s="0" t="n">
        <v>16.201</v>
      </c>
      <c r="AN75" s="0" t="n">
        <v>5599500</v>
      </c>
      <c r="AO75" s="0" t="n">
        <v>37</v>
      </c>
      <c r="AP75" s="0" t="s">
        <v>380</v>
      </c>
      <c r="AQ75" s="0" t="s">
        <v>380</v>
      </c>
      <c r="AR75" s="0" t="s">
        <v>140</v>
      </c>
      <c r="AU75" s="0" t="n">
        <v>161</v>
      </c>
    </row>
    <row r="76" customFormat="false" ht="15" hidden="false" customHeight="false" outlineLevel="0" collapsed="false">
      <c r="A76" s="0" t="s">
        <v>385</v>
      </c>
      <c r="B76" s="0" t="s">
        <v>383</v>
      </c>
      <c r="C76" s="0" t="s">
        <v>384</v>
      </c>
      <c r="D76" s="0" t="n">
        <v>17.30126</v>
      </c>
      <c r="E76" s="0" t="n">
        <v>18.09104</v>
      </c>
      <c r="F76" s="0" t="n">
        <v>17.72224</v>
      </c>
      <c r="G76" s="0" t="n">
        <v>17.90059</v>
      </c>
      <c r="H76" s="0" t="n">
        <v>18.5273</v>
      </c>
      <c r="I76" s="0" t="n">
        <v>17.38085</v>
      </c>
      <c r="J76" s="0" t="n">
        <v>17.97113</v>
      </c>
      <c r="K76" s="0" t="n">
        <v>18.27344</v>
      </c>
      <c r="L76" s="0" t="n">
        <v>17.78366</v>
      </c>
      <c r="M76" s="0" t="n">
        <v>16.74426</v>
      </c>
      <c r="N76" s="0" t="n">
        <v>16.89447</v>
      </c>
      <c r="O76" s="0" t="n">
        <v>17.16084</v>
      </c>
      <c r="P76" s="0" t="n">
        <v>18.77298</v>
      </c>
      <c r="Q76" s="0" t="n">
        <v>18.74383</v>
      </c>
      <c r="R76" s="0" t="n">
        <v>17.09959</v>
      </c>
      <c r="S76" s="0" t="n">
        <v>17.92526</v>
      </c>
      <c r="T76" s="0" t="n">
        <v>18.921</v>
      </c>
      <c r="U76" s="0" t="n">
        <v>17.80857</v>
      </c>
      <c r="V76" s="0" t="n">
        <v>17.92178</v>
      </c>
      <c r="W76" s="0" t="n">
        <v>17.75558</v>
      </c>
      <c r="X76" s="0" t="n">
        <v>18.82364</v>
      </c>
      <c r="Y76" s="0" t="n">
        <v>17.11604</v>
      </c>
      <c r="Z76" s="0" t="n">
        <v>18.57659</v>
      </c>
      <c r="AA76" s="0" t="n">
        <v>19.16221</v>
      </c>
      <c r="AB76" s="0" t="n">
        <v>19.24486</v>
      </c>
      <c r="AC76" s="0" t="n">
        <v>16.60001</v>
      </c>
      <c r="AD76" s="0" t="n">
        <v>19.21559</v>
      </c>
      <c r="AE76" s="0" t="n">
        <v>13</v>
      </c>
      <c r="AF76" s="0" t="n">
        <v>13</v>
      </c>
      <c r="AG76" s="0" t="n">
        <v>13</v>
      </c>
      <c r="AH76" s="0" t="n">
        <v>36.2</v>
      </c>
      <c r="AI76" s="0" t="n">
        <v>36.2</v>
      </c>
      <c r="AJ76" s="0" t="n">
        <v>36.2</v>
      </c>
      <c r="AK76" s="0" t="n">
        <v>67.046</v>
      </c>
      <c r="AL76" s="0" t="n">
        <v>0</v>
      </c>
      <c r="AM76" s="0" t="n">
        <v>45.821</v>
      </c>
      <c r="AN76" s="0" t="n">
        <v>10646000</v>
      </c>
      <c r="AO76" s="0" t="n">
        <v>54</v>
      </c>
      <c r="AP76" s="0" t="s">
        <v>383</v>
      </c>
      <c r="AQ76" s="0" t="s">
        <v>383</v>
      </c>
      <c r="AR76" s="0" t="s">
        <v>280</v>
      </c>
      <c r="AS76" s="0" t="n">
        <v>104</v>
      </c>
      <c r="AT76" s="0" t="n">
        <v>312</v>
      </c>
      <c r="AU76" s="0" t="n">
        <v>162</v>
      </c>
    </row>
    <row r="77" customFormat="false" ht="15" hidden="false" customHeight="false" outlineLevel="0" collapsed="false">
      <c r="A77" s="0" t="s">
        <v>389</v>
      </c>
      <c r="B77" s="0" t="s">
        <v>387</v>
      </c>
      <c r="C77" s="0" t="s">
        <v>388</v>
      </c>
      <c r="D77" s="0" t="n">
        <v>17.62649</v>
      </c>
      <c r="E77" s="0" t="n">
        <v>18.19816</v>
      </c>
      <c r="F77" s="0" t="n">
        <v>17.79127</v>
      </c>
      <c r="G77" s="0" t="n">
        <v>18.47183</v>
      </c>
      <c r="H77" s="0" t="n">
        <v>18.51768</v>
      </c>
      <c r="I77" s="0" t="n">
        <v>18.22515</v>
      </c>
      <c r="J77" s="0" t="n">
        <v>17.46818</v>
      </c>
      <c r="K77" s="0" t="n">
        <v>17.9124</v>
      </c>
      <c r="L77" s="0" t="n">
        <v>18.54435</v>
      </c>
      <c r="M77" s="0" t="n">
        <v>19.03896</v>
      </c>
      <c r="N77" s="0" t="n">
        <v>15.82577</v>
      </c>
      <c r="O77" s="0" t="n">
        <v>17.20801</v>
      </c>
      <c r="P77" s="0" t="n">
        <v>18.53382</v>
      </c>
      <c r="Q77" s="0" t="n">
        <v>19.48638</v>
      </c>
      <c r="R77" s="0" t="n">
        <v>16.8825</v>
      </c>
      <c r="S77" s="0" t="n">
        <v>17.92515</v>
      </c>
      <c r="T77" s="0" t="n">
        <v>18.16992</v>
      </c>
      <c r="U77" s="0" t="n">
        <v>18.59467</v>
      </c>
      <c r="V77" s="0" t="n">
        <v>18.3107</v>
      </c>
      <c r="W77" s="0" t="n">
        <v>18.38132</v>
      </c>
      <c r="X77" s="0" t="n">
        <v>18.4433</v>
      </c>
      <c r="Y77" s="0" t="n">
        <v>18.19215</v>
      </c>
      <c r="Z77" s="0" t="n">
        <v>18.92141</v>
      </c>
      <c r="AA77" s="0" t="n">
        <v>19.03408</v>
      </c>
      <c r="AB77" s="0" t="n">
        <v>18.71112</v>
      </c>
      <c r="AC77" s="0" t="n">
        <v>19.0033</v>
      </c>
      <c r="AD77" s="0" t="n">
        <v>18.32246</v>
      </c>
      <c r="AE77" s="0" t="n">
        <v>7</v>
      </c>
      <c r="AF77" s="0" t="n">
        <v>7</v>
      </c>
      <c r="AG77" s="0" t="n">
        <v>7</v>
      </c>
      <c r="AH77" s="0" t="n">
        <v>45</v>
      </c>
      <c r="AI77" s="0" t="n">
        <v>45</v>
      </c>
      <c r="AJ77" s="0" t="n">
        <v>45</v>
      </c>
      <c r="AK77" s="0" t="n">
        <v>22.277</v>
      </c>
      <c r="AL77" s="0" t="n">
        <v>0</v>
      </c>
      <c r="AM77" s="0" t="n">
        <v>42.344</v>
      </c>
      <c r="AN77" s="0" t="n">
        <v>11738000</v>
      </c>
      <c r="AO77" s="0" t="n">
        <v>40</v>
      </c>
      <c r="AP77" s="0" t="s">
        <v>386</v>
      </c>
      <c r="AQ77" s="0" t="s">
        <v>387</v>
      </c>
      <c r="AR77" s="0" t="s">
        <v>150</v>
      </c>
      <c r="AU77" s="0" t="n">
        <v>163</v>
      </c>
    </row>
    <row r="78" customFormat="false" ht="15" hidden="false" customHeight="false" outlineLevel="0" collapsed="false">
      <c r="A78" s="0" t="s">
        <v>393</v>
      </c>
      <c r="B78" s="0" t="s">
        <v>391</v>
      </c>
      <c r="C78" s="0" t="s">
        <v>392</v>
      </c>
      <c r="D78" s="0" t="n">
        <v>17.29894</v>
      </c>
      <c r="E78" s="0" t="n">
        <v>17.88697</v>
      </c>
      <c r="F78" s="0" t="n">
        <v>18.46981</v>
      </c>
      <c r="G78" s="0" t="n">
        <v>17.81616</v>
      </c>
      <c r="H78" s="0" t="n">
        <v>17.53062</v>
      </c>
      <c r="I78" s="0" t="n">
        <v>19.3057</v>
      </c>
      <c r="J78" s="0" t="n">
        <v>18.44593</v>
      </c>
      <c r="K78" s="0" t="n">
        <v>19.05104</v>
      </c>
      <c r="L78" s="0" t="n">
        <v>18.27139</v>
      </c>
      <c r="M78" s="0" t="n">
        <v>18.11807</v>
      </c>
      <c r="N78" s="0" t="n">
        <v>17.34252</v>
      </c>
      <c r="O78" s="0" t="n">
        <v>18.21457</v>
      </c>
      <c r="P78" s="0" t="n">
        <v>20.2739</v>
      </c>
      <c r="Q78" s="0" t="n">
        <v>17.49755</v>
      </c>
      <c r="R78" s="0" t="n">
        <v>16.39361</v>
      </c>
      <c r="S78" s="0" t="n">
        <v>18.39456</v>
      </c>
      <c r="T78" s="0" t="n">
        <v>18.03166</v>
      </c>
      <c r="U78" s="0" t="n">
        <v>18.29069</v>
      </c>
      <c r="V78" s="0" t="n">
        <v>17.88876</v>
      </c>
      <c r="W78" s="0" t="n">
        <v>18.50804</v>
      </c>
      <c r="X78" s="0" t="n">
        <v>18.89995</v>
      </c>
      <c r="Y78" s="0" t="n">
        <v>18.06471</v>
      </c>
      <c r="Z78" s="0" t="n">
        <v>18.47005</v>
      </c>
      <c r="AA78" s="0" t="n">
        <v>18.62435</v>
      </c>
      <c r="AB78" s="0" t="n">
        <v>18.52822</v>
      </c>
      <c r="AC78" s="0" t="n">
        <v>17.17806</v>
      </c>
      <c r="AD78" s="0" t="n">
        <v>18.29988</v>
      </c>
      <c r="AE78" s="0" t="n">
        <v>7</v>
      </c>
      <c r="AF78" s="0" t="n">
        <v>7</v>
      </c>
      <c r="AG78" s="0" t="n">
        <v>7</v>
      </c>
      <c r="AH78" s="0" t="n">
        <v>24.7</v>
      </c>
      <c r="AI78" s="0" t="n">
        <v>24.7</v>
      </c>
      <c r="AJ78" s="0" t="n">
        <v>24.7</v>
      </c>
      <c r="AK78" s="0" t="n">
        <v>45.14</v>
      </c>
      <c r="AL78" s="0" t="n">
        <v>0</v>
      </c>
      <c r="AM78" s="0" t="n">
        <v>37.299</v>
      </c>
      <c r="AN78" s="0" t="n">
        <v>12827000</v>
      </c>
      <c r="AO78" s="0" t="n">
        <v>68</v>
      </c>
      <c r="AP78" s="0" t="s">
        <v>390</v>
      </c>
      <c r="AQ78" s="0" t="s">
        <v>391</v>
      </c>
      <c r="AR78" s="0" t="s">
        <v>150</v>
      </c>
      <c r="AS78" s="0" t="n">
        <v>105</v>
      </c>
      <c r="AT78" s="0" t="n">
        <v>273</v>
      </c>
      <c r="AU78" s="0" t="n">
        <v>165</v>
      </c>
    </row>
    <row r="79" customFormat="false" ht="15" hidden="false" customHeight="false" outlineLevel="0" collapsed="false">
      <c r="A79" s="0" t="s">
        <v>397</v>
      </c>
      <c r="B79" s="0" t="s">
        <v>395</v>
      </c>
      <c r="C79" s="0" t="s">
        <v>396</v>
      </c>
      <c r="D79" s="0" t="n">
        <v>21.97197</v>
      </c>
      <c r="E79" s="0" t="n">
        <v>22.17329</v>
      </c>
      <c r="F79" s="0" t="n">
        <v>22.40901</v>
      </c>
      <c r="G79" s="0" t="n">
        <v>22.33451</v>
      </c>
      <c r="H79" s="0" t="n">
        <v>22.5644</v>
      </c>
      <c r="I79" s="0" t="n">
        <v>22.62723</v>
      </c>
      <c r="J79" s="0" t="n">
        <v>22.15755</v>
      </c>
      <c r="K79" s="0" t="n">
        <v>21.64522</v>
      </c>
      <c r="L79" s="0" t="n">
        <v>22.24818</v>
      </c>
      <c r="M79" s="0" t="n">
        <v>22.93837</v>
      </c>
      <c r="N79" s="0" t="n">
        <v>21.90665</v>
      </c>
      <c r="O79" s="0" t="n">
        <v>22.64926</v>
      </c>
      <c r="P79" s="0" t="n">
        <v>22.10409</v>
      </c>
      <c r="Q79" s="0" t="n">
        <v>22.1283</v>
      </c>
      <c r="R79" s="0" t="n">
        <v>22.48358</v>
      </c>
      <c r="S79" s="0" t="n">
        <v>21.96258</v>
      </c>
      <c r="T79" s="0" t="n">
        <v>22.17539</v>
      </c>
      <c r="U79" s="0" t="n">
        <v>22.05086</v>
      </c>
      <c r="V79" s="0" t="n">
        <v>22.29541</v>
      </c>
      <c r="W79" s="0" t="n">
        <v>22.22682</v>
      </c>
      <c r="X79" s="0" t="n">
        <v>22.4938</v>
      </c>
      <c r="Y79" s="0" t="n">
        <v>22.51396</v>
      </c>
      <c r="Z79" s="0" t="n">
        <v>22.37162</v>
      </c>
      <c r="AA79" s="0" t="n">
        <v>22.48134</v>
      </c>
      <c r="AB79" s="0" t="n">
        <v>22.5106</v>
      </c>
      <c r="AC79" s="0" t="n">
        <v>22.70841</v>
      </c>
      <c r="AD79" s="0" t="n">
        <v>22.64889</v>
      </c>
      <c r="AE79" s="0" t="n">
        <v>50</v>
      </c>
      <c r="AF79" s="0" t="n">
        <v>50</v>
      </c>
      <c r="AG79" s="0" t="n">
        <v>45</v>
      </c>
      <c r="AH79" s="0" t="n">
        <v>52.1</v>
      </c>
      <c r="AI79" s="0" t="n">
        <v>52.1</v>
      </c>
      <c r="AJ79" s="0" t="n">
        <v>46.4</v>
      </c>
      <c r="AK79" s="0" t="n">
        <v>139.09</v>
      </c>
      <c r="AL79" s="0" t="n">
        <v>0</v>
      </c>
      <c r="AM79" s="0" t="n">
        <v>323.31</v>
      </c>
      <c r="AN79" s="0" t="n">
        <v>208960000</v>
      </c>
      <c r="AO79" s="0" t="n">
        <v>515</v>
      </c>
      <c r="AP79" s="0" t="s">
        <v>394</v>
      </c>
      <c r="AQ79" s="0" t="s">
        <v>395</v>
      </c>
      <c r="AR79" s="0" t="s">
        <v>398</v>
      </c>
      <c r="AS79" s="0" t="s">
        <v>399</v>
      </c>
      <c r="AT79" s="0" t="s">
        <v>400</v>
      </c>
      <c r="AU79" s="0" t="n">
        <v>167</v>
      </c>
    </row>
    <row r="80" customFormat="false" ht="15" hidden="false" customHeight="false" outlineLevel="0" collapsed="false">
      <c r="A80" s="0" t="s">
        <v>405</v>
      </c>
      <c r="B80" s="0" t="s">
        <v>403</v>
      </c>
      <c r="C80" s="0" t="s">
        <v>404</v>
      </c>
      <c r="D80" s="0" t="n">
        <v>16.78596</v>
      </c>
      <c r="E80" s="0" t="n">
        <v>18.05648</v>
      </c>
      <c r="F80" s="0" t="n">
        <v>15.69936</v>
      </c>
      <c r="G80" s="0" t="n">
        <v>14.44074</v>
      </c>
      <c r="H80" s="0" t="n">
        <v>16.72014</v>
      </c>
      <c r="I80" s="0" t="n">
        <v>16.60659</v>
      </c>
      <c r="J80" s="0" t="n">
        <v>16.97074</v>
      </c>
      <c r="K80" s="0" t="n">
        <v>18.47524</v>
      </c>
      <c r="L80" s="0" t="n">
        <v>16.42244</v>
      </c>
      <c r="M80" s="0" t="n">
        <v>16.16857</v>
      </c>
      <c r="N80" s="0" t="n">
        <v>17.58701</v>
      </c>
      <c r="O80" s="0" t="n">
        <v>20.27185</v>
      </c>
      <c r="P80" s="0" t="n">
        <v>18.03676</v>
      </c>
      <c r="Q80" s="0" t="n">
        <v>18.40736</v>
      </c>
      <c r="R80" s="0" t="n">
        <v>19.17959</v>
      </c>
      <c r="S80" s="0" t="n">
        <v>17.28446</v>
      </c>
      <c r="T80" s="0" t="n">
        <v>18.10585</v>
      </c>
      <c r="U80" s="0" t="n">
        <v>17.806</v>
      </c>
      <c r="V80" s="0" t="n">
        <v>16.92021</v>
      </c>
      <c r="W80" s="0" t="n">
        <v>17.12485</v>
      </c>
      <c r="X80" s="0" t="n">
        <v>19.54764</v>
      </c>
      <c r="Y80" s="0" t="n">
        <v>18.38545</v>
      </c>
      <c r="Z80" s="0" t="n">
        <v>20.13884</v>
      </c>
      <c r="AA80" s="0" t="n">
        <v>19.62501</v>
      </c>
      <c r="AB80" s="0" t="n">
        <v>19.50798</v>
      </c>
      <c r="AC80" s="0" t="n">
        <v>18.38119</v>
      </c>
      <c r="AD80" s="0" t="n">
        <v>19.01258</v>
      </c>
      <c r="AE80" s="0" t="n">
        <v>7</v>
      </c>
      <c r="AF80" s="0" t="n">
        <v>7</v>
      </c>
      <c r="AG80" s="0" t="n">
        <v>7</v>
      </c>
      <c r="AH80" s="0" t="n">
        <v>20.6</v>
      </c>
      <c r="AI80" s="0" t="n">
        <v>20.6</v>
      </c>
      <c r="AJ80" s="0" t="n">
        <v>20.6</v>
      </c>
      <c r="AK80" s="0" t="n">
        <v>54.565</v>
      </c>
      <c r="AL80" s="0" t="n">
        <v>0</v>
      </c>
      <c r="AM80" s="0" t="n">
        <v>21.631</v>
      </c>
      <c r="AN80" s="0" t="n">
        <v>13226000</v>
      </c>
      <c r="AO80" s="0" t="n">
        <v>30</v>
      </c>
      <c r="AP80" s="0" t="s">
        <v>402</v>
      </c>
      <c r="AQ80" s="0" t="s">
        <v>403</v>
      </c>
      <c r="AR80" s="0" t="s">
        <v>150</v>
      </c>
      <c r="AU80" s="0" t="n">
        <v>168</v>
      </c>
    </row>
    <row r="81" customFormat="false" ht="15" hidden="false" customHeight="false" outlineLevel="0" collapsed="false">
      <c r="A81" s="0" t="s">
        <v>408</v>
      </c>
      <c r="B81" s="0" t="s">
        <v>406</v>
      </c>
      <c r="C81" s="0" t="s">
        <v>407</v>
      </c>
      <c r="D81" s="0" t="n">
        <v>18.58699</v>
      </c>
      <c r="E81" s="0" t="n">
        <v>18.25331</v>
      </c>
      <c r="F81" s="0" t="n">
        <v>18.39028</v>
      </c>
      <c r="G81" s="0" t="n">
        <v>18.51918</v>
      </c>
      <c r="H81" s="0" t="n">
        <v>19.53056</v>
      </c>
      <c r="I81" s="0" t="n">
        <v>19.07243</v>
      </c>
      <c r="J81" s="0" t="n">
        <v>17.79329</v>
      </c>
      <c r="K81" s="0" t="n">
        <v>18.64867</v>
      </c>
      <c r="L81" s="0" t="n">
        <v>18.41584</v>
      </c>
      <c r="M81" s="0" t="n">
        <v>15.99429</v>
      </c>
      <c r="N81" s="0" t="n">
        <v>16.27852</v>
      </c>
      <c r="O81" s="0" t="n">
        <v>17.19075</v>
      </c>
      <c r="P81" s="0" t="n">
        <v>17.11837</v>
      </c>
      <c r="Q81" s="0" t="n">
        <v>18.35544</v>
      </c>
      <c r="R81" s="0" t="n">
        <v>17.65788</v>
      </c>
      <c r="S81" s="0" t="n">
        <v>18.67332</v>
      </c>
      <c r="T81" s="0" t="n">
        <v>18.93718</v>
      </c>
      <c r="U81" s="0" t="n">
        <v>19.03115</v>
      </c>
      <c r="V81" s="0" t="n">
        <v>18.68692</v>
      </c>
      <c r="W81" s="0" t="n">
        <v>18.42185</v>
      </c>
      <c r="X81" s="0" t="n">
        <v>17.91357</v>
      </c>
      <c r="Y81" s="0" t="n">
        <v>17.06213</v>
      </c>
      <c r="Z81" s="0" t="n">
        <v>19.24088</v>
      </c>
      <c r="AA81" s="0" t="n">
        <v>18.74652</v>
      </c>
      <c r="AB81" s="0" t="n">
        <v>19.26531</v>
      </c>
      <c r="AC81" s="0" t="n">
        <v>19.72296</v>
      </c>
      <c r="AD81" s="0" t="n">
        <v>19.25815</v>
      </c>
      <c r="AE81" s="0" t="n">
        <v>64</v>
      </c>
      <c r="AF81" s="0" t="n">
        <v>1</v>
      </c>
      <c r="AG81" s="0" t="n">
        <v>0</v>
      </c>
      <c r="AH81" s="0" t="n">
        <v>46.4</v>
      </c>
      <c r="AI81" s="0" t="n">
        <v>1.5</v>
      </c>
      <c r="AJ81" s="0" t="n">
        <v>0</v>
      </c>
      <c r="AK81" s="0" t="n">
        <v>192.78</v>
      </c>
      <c r="AL81" s="0" t="n">
        <v>0</v>
      </c>
      <c r="AM81" s="0" t="n">
        <v>9.3133</v>
      </c>
      <c r="AN81" s="0" t="n">
        <v>14319000</v>
      </c>
      <c r="AO81" s="0" t="n">
        <v>28</v>
      </c>
      <c r="AP81" s="0" t="s">
        <v>406</v>
      </c>
      <c r="AQ81" s="0" t="s">
        <v>406</v>
      </c>
      <c r="AR81" s="0" t="s">
        <v>409</v>
      </c>
      <c r="AS81" s="0" t="s">
        <v>410</v>
      </c>
      <c r="AT81" s="0" t="s">
        <v>411</v>
      </c>
      <c r="AU81" s="0" t="n">
        <v>169</v>
      </c>
    </row>
    <row r="82" customFormat="false" ht="15" hidden="false" customHeight="false" outlineLevel="0" collapsed="false">
      <c r="A82" s="0" t="s">
        <v>414</v>
      </c>
      <c r="B82" s="0" t="s">
        <v>412</v>
      </c>
      <c r="C82" s="0" t="s">
        <v>413</v>
      </c>
      <c r="D82" s="0" t="n">
        <v>22.49641</v>
      </c>
      <c r="E82" s="0" t="n">
        <v>23.91306</v>
      </c>
      <c r="F82" s="0" t="n">
        <v>23.68699</v>
      </c>
      <c r="G82" s="0" t="n">
        <v>22.95977</v>
      </c>
      <c r="H82" s="0" t="n">
        <v>23.96728</v>
      </c>
      <c r="I82" s="0" t="n">
        <v>23.25638</v>
      </c>
      <c r="J82" s="0" t="n">
        <v>22.51836</v>
      </c>
      <c r="K82" s="0" t="n">
        <v>23.42278</v>
      </c>
      <c r="L82" s="0" t="n">
        <v>23.40484</v>
      </c>
      <c r="M82" s="0" t="n">
        <v>23.88008</v>
      </c>
      <c r="N82" s="0" t="n">
        <v>22.10265</v>
      </c>
      <c r="O82" s="0" t="n">
        <v>23.0641</v>
      </c>
      <c r="P82" s="0" t="n">
        <v>23.01813</v>
      </c>
      <c r="Q82" s="0" t="n">
        <v>23.98963</v>
      </c>
      <c r="R82" s="0" t="n">
        <v>22.5852</v>
      </c>
      <c r="S82" s="0" t="n">
        <v>23.6903</v>
      </c>
      <c r="T82" s="0" t="n">
        <v>23.24506</v>
      </c>
      <c r="U82" s="0" t="n">
        <v>23.88213</v>
      </c>
      <c r="V82" s="0" t="n">
        <v>23.81264</v>
      </c>
      <c r="W82" s="0" t="n">
        <v>22.86637</v>
      </c>
      <c r="X82" s="0" t="n">
        <v>24.08999</v>
      </c>
      <c r="Y82" s="0" t="n">
        <v>23.21804</v>
      </c>
      <c r="Z82" s="0" t="n">
        <v>24.06489</v>
      </c>
      <c r="AA82" s="0" t="n">
        <v>23.6093</v>
      </c>
      <c r="AB82" s="0" t="n">
        <v>23.86448</v>
      </c>
      <c r="AC82" s="0" t="n">
        <v>23.18312</v>
      </c>
      <c r="AD82" s="0" t="n">
        <v>23.73376</v>
      </c>
      <c r="AE82" s="0" t="n">
        <v>64</v>
      </c>
      <c r="AF82" s="0" t="n">
        <v>64</v>
      </c>
      <c r="AG82" s="0" t="n">
        <v>1</v>
      </c>
      <c r="AH82" s="0" t="n">
        <v>46.7</v>
      </c>
      <c r="AI82" s="0" t="n">
        <v>46.7</v>
      </c>
      <c r="AJ82" s="0" t="n">
        <v>1</v>
      </c>
      <c r="AK82" s="0" t="n">
        <v>192.75</v>
      </c>
      <c r="AL82" s="0" t="n">
        <v>0</v>
      </c>
      <c r="AM82" s="0" t="n">
        <v>323.31</v>
      </c>
      <c r="AN82" s="0" t="n">
        <v>431990000</v>
      </c>
      <c r="AO82" s="0" t="n">
        <v>868</v>
      </c>
      <c r="AP82" s="0" t="s">
        <v>412</v>
      </c>
      <c r="AQ82" s="0" t="s">
        <v>412</v>
      </c>
      <c r="AR82" s="0" t="s">
        <v>415</v>
      </c>
      <c r="AS82" s="0" t="s">
        <v>101</v>
      </c>
      <c r="AT82" s="0" t="s">
        <v>102</v>
      </c>
      <c r="AU82" s="0" t="n">
        <v>170</v>
      </c>
    </row>
    <row r="83" customFormat="false" ht="15" hidden="false" customHeight="false" outlineLevel="0" collapsed="false">
      <c r="A83" s="0" t="s">
        <v>419</v>
      </c>
      <c r="B83" s="0" t="s">
        <v>417</v>
      </c>
      <c r="C83" s="0" t="s">
        <v>418</v>
      </c>
      <c r="D83" s="0" t="n">
        <v>18.69374</v>
      </c>
      <c r="E83" s="0" t="n">
        <v>18.83356</v>
      </c>
      <c r="F83" s="0" t="n">
        <v>17.20275</v>
      </c>
      <c r="G83" s="0" t="n">
        <v>18.99206</v>
      </c>
      <c r="H83" s="0" t="n">
        <v>18.64969</v>
      </c>
      <c r="I83" s="0" t="n">
        <v>19.44982</v>
      </c>
      <c r="J83" s="0" t="n">
        <v>17.92515</v>
      </c>
      <c r="K83" s="0" t="n">
        <v>18.83334</v>
      </c>
      <c r="L83" s="0" t="n">
        <v>19.15613</v>
      </c>
      <c r="M83" s="0" t="n">
        <v>19.31374</v>
      </c>
      <c r="N83" s="0" t="n">
        <v>17.11717</v>
      </c>
      <c r="O83" s="0" t="n">
        <v>17.214</v>
      </c>
      <c r="P83" s="0" t="n">
        <v>18.70887</v>
      </c>
      <c r="Q83" s="0" t="n">
        <v>19.26568</v>
      </c>
      <c r="R83" s="0" t="n">
        <v>18.10564</v>
      </c>
      <c r="S83" s="0" t="n">
        <v>18.13996</v>
      </c>
      <c r="T83" s="0" t="n">
        <v>18.12182</v>
      </c>
      <c r="U83" s="0" t="n">
        <v>18.79893</v>
      </c>
      <c r="V83" s="0" t="n">
        <v>18.31026</v>
      </c>
      <c r="W83" s="0" t="n">
        <v>18.72371</v>
      </c>
      <c r="X83" s="0" t="n">
        <v>19.21904</v>
      </c>
      <c r="Y83" s="0" t="n">
        <v>18.92094</v>
      </c>
      <c r="Z83" s="0" t="n">
        <v>18.71028</v>
      </c>
      <c r="AA83" s="0" t="n">
        <v>18.35173</v>
      </c>
      <c r="AB83" s="0" t="n">
        <v>18.623</v>
      </c>
      <c r="AC83" s="0" t="n">
        <v>19.37173</v>
      </c>
      <c r="AD83" s="0" t="n">
        <v>18.09476</v>
      </c>
      <c r="AE83" s="0" t="n">
        <v>18</v>
      </c>
      <c r="AF83" s="0" t="n">
        <v>18</v>
      </c>
      <c r="AG83" s="0" t="n">
        <v>18</v>
      </c>
      <c r="AH83" s="0" t="n">
        <v>37.2</v>
      </c>
      <c r="AI83" s="0" t="n">
        <v>37.2</v>
      </c>
      <c r="AJ83" s="0" t="n">
        <v>37.2</v>
      </c>
      <c r="AK83" s="0" t="n">
        <v>93.517</v>
      </c>
      <c r="AL83" s="0" t="n">
        <v>0</v>
      </c>
      <c r="AM83" s="0" t="n">
        <v>32.874</v>
      </c>
      <c r="AN83" s="0" t="n">
        <v>15388000</v>
      </c>
      <c r="AO83" s="0" t="n">
        <v>89</v>
      </c>
      <c r="AP83" s="0" t="s">
        <v>416</v>
      </c>
      <c r="AQ83" s="0" t="s">
        <v>417</v>
      </c>
      <c r="AR83" s="0" t="s">
        <v>69</v>
      </c>
      <c r="AU83" s="0" t="n">
        <v>172</v>
      </c>
    </row>
    <row r="84" customFormat="false" ht="15" hidden="false" customHeight="false" outlineLevel="0" collapsed="false">
      <c r="A84" s="0" t="s">
        <v>423</v>
      </c>
      <c r="B84" s="0" t="s">
        <v>421</v>
      </c>
      <c r="C84" s="0" t="s">
        <v>422</v>
      </c>
      <c r="D84" s="0" t="n">
        <v>20.60159</v>
      </c>
      <c r="E84" s="0" t="n">
        <v>20.8578</v>
      </c>
      <c r="F84" s="0" t="n">
        <v>21.23316</v>
      </c>
      <c r="G84" s="0" t="n">
        <v>21.76255</v>
      </c>
      <c r="H84" s="0" t="n">
        <v>21.02513</v>
      </c>
      <c r="I84" s="0" t="n">
        <v>21.01134</v>
      </c>
      <c r="J84" s="0" t="n">
        <v>20.42726</v>
      </c>
      <c r="K84" s="0" t="n">
        <v>20.94578</v>
      </c>
      <c r="L84" s="0" t="n">
        <v>20.98635</v>
      </c>
      <c r="M84" s="0" t="n">
        <v>21.71574</v>
      </c>
      <c r="N84" s="0" t="n">
        <v>21.04313</v>
      </c>
      <c r="O84" s="0" t="n">
        <v>20.8717</v>
      </c>
      <c r="P84" s="0" t="n">
        <v>20.99886</v>
      </c>
      <c r="Q84" s="0" t="n">
        <v>17.26453</v>
      </c>
      <c r="R84" s="0" t="n">
        <v>21.81515</v>
      </c>
      <c r="S84" s="0" t="n">
        <v>20.84053</v>
      </c>
      <c r="T84" s="0" t="n">
        <v>20.69439</v>
      </c>
      <c r="U84" s="0" t="n">
        <v>20.45523</v>
      </c>
      <c r="V84" s="0" t="n">
        <v>20.80625</v>
      </c>
      <c r="W84" s="0" t="n">
        <v>21.10942</v>
      </c>
      <c r="X84" s="0" t="n">
        <v>21.45036</v>
      </c>
      <c r="Y84" s="0" t="n">
        <v>21.79891</v>
      </c>
      <c r="Z84" s="0" t="n">
        <v>21.30145</v>
      </c>
      <c r="AA84" s="0" t="n">
        <v>21.42157</v>
      </c>
      <c r="AB84" s="0" t="n">
        <v>21.39305</v>
      </c>
      <c r="AC84" s="0" t="n">
        <v>21.64619</v>
      </c>
      <c r="AD84" s="0" t="n">
        <v>21.43206</v>
      </c>
      <c r="AE84" s="0" t="n">
        <v>11</v>
      </c>
      <c r="AF84" s="0" t="n">
        <v>11</v>
      </c>
      <c r="AG84" s="0" t="n">
        <v>11</v>
      </c>
      <c r="AH84" s="0" t="n">
        <v>26.7</v>
      </c>
      <c r="AI84" s="0" t="n">
        <v>26.7</v>
      </c>
      <c r="AJ84" s="0" t="n">
        <v>26.7</v>
      </c>
      <c r="AK84" s="0" t="n">
        <v>48.803</v>
      </c>
      <c r="AL84" s="0" t="n">
        <v>0</v>
      </c>
      <c r="AM84" s="0" t="n">
        <v>139.33</v>
      </c>
      <c r="AN84" s="0" t="n">
        <v>82657000</v>
      </c>
      <c r="AO84" s="0" t="n">
        <v>82</v>
      </c>
      <c r="AP84" s="0" t="s">
        <v>420</v>
      </c>
      <c r="AQ84" s="0" t="s">
        <v>421</v>
      </c>
      <c r="AR84" s="0" t="s">
        <v>284</v>
      </c>
      <c r="AU84" s="0" t="n">
        <v>173</v>
      </c>
    </row>
    <row r="85" customFormat="false" ht="15" hidden="false" customHeight="false" outlineLevel="0" collapsed="false">
      <c r="A85" s="0" t="s">
        <v>427</v>
      </c>
      <c r="B85" s="0" t="s">
        <v>425</v>
      </c>
      <c r="C85" s="0" t="s">
        <v>426</v>
      </c>
      <c r="D85" s="0" t="n">
        <v>19.05309</v>
      </c>
      <c r="E85" s="0" t="n">
        <v>18.3067</v>
      </c>
      <c r="F85" s="0" t="n">
        <v>19.89893</v>
      </c>
      <c r="G85" s="0" t="n">
        <v>19.15867</v>
      </c>
      <c r="H85" s="0" t="n">
        <v>19.25153</v>
      </c>
      <c r="I85" s="0" t="n">
        <v>19.97673</v>
      </c>
      <c r="J85" s="0" t="n">
        <v>18.2627</v>
      </c>
      <c r="K85" s="0" t="n">
        <v>19.27401</v>
      </c>
      <c r="L85" s="0" t="n">
        <v>18.80275</v>
      </c>
      <c r="M85" s="0" t="n">
        <v>19.3735</v>
      </c>
      <c r="N85" s="0" t="n">
        <v>18.60816</v>
      </c>
      <c r="O85" s="0" t="n">
        <v>17.39908</v>
      </c>
      <c r="P85" s="0" t="n">
        <v>19.29296</v>
      </c>
      <c r="Q85" s="0" t="n">
        <v>20.33974</v>
      </c>
      <c r="R85" s="0" t="n">
        <v>17.87177</v>
      </c>
      <c r="S85" s="0" t="n">
        <v>19.06371</v>
      </c>
      <c r="T85" s="0" t="n">
        <v>18.97645</v>
      </c>
      <c r="U85" s="0" t="n">
        <v>19.09695</v>
      </c>
      <c r="V85" s="0" t="n">
        <v>18.6968</v>
      </c>
      <c r="W85" s="0" t="n">
        <v>19.09306</v>
      </c>
      <c r="X85" s="0" t="n">
        <v>18.79855</v>
      </c>
      <c r="Y85" s="0" t="n">
        <v>19.63263</v>
      </c>
      <c r="Z85" s="0" t="n">
        <v>19.12381</v>
      </c>
      <c r="AA85" s="0" t="n">
        <v>19.37303</v>
      </c>
      <c r="AB85" s="0" t="n">
        <v>19.45028</v>
      </c>
      <c r="AC85" s="0" t="n">
        <v>19.28184</v>
      </c>
      <c r="AD85" s="0" t="n">
        <v>19.45862</v>
      </c>
      <c r="AE85" s="0" t="n">
        <v>15</v>
      </c>
      <c r="AF85" s="0" t="n">
        <v>15</v>
      </c>
      <c r="AG85" s="0" t="n">
        <v>15</v>
      </c>
      <c r="AH85" s="0" t="n">
        <v>26.6</v>
      </c>
      <c r="AI85" s="0" t="n">
        <v>26.6</v>
      </c>
      <c r="AJ85" s="0" t="n">
        <v>26.6</v>
      </c>
      <c r="AK85" s="0" t="n">
        <v>104.79</v>
      </c>
      <c r="AL85" s="0" t="n">
        <v>0</v>
      </c>
      <c r="AM85" s="0" t="n">
        <v>43.893</v>
      </c>
      <c r="AN85" s="0" t="n">
        <v>21034000</v>
      </c>
      <c r="AO85" s="0" t="n">
        <v>103</v>
      </c>
      <c r="AP85" s="0" t="s">
        <v>424</v>
      </c>
      <c r="AQ85" s="0" t="s">
        <v>425</v>
      </c>
      <c r="AR85" s="0" t="s">
        <v>428</v>
      </c>
      <c r="AU85" s="0" t="n">
        <v>175</v>
      </c>
    </row>
    <row r="86" customFormat="false" ht="15" hidden="false" customHeight="false" outlineLevel="0" collapsed="false">
      <c r="A86" s="0" t="s">
        <v>432</v>
      </c>
      <c r="B86" s="0" t="s">
        <v>430</v>
      </c>
      <c r="C86" s="0" t="s">
        <v>431</v>
      </c>
      <c r="D86" s="0" t="n">
        <v>15.564</v>
      </c>
      <c r="E86" s="0" t="n">
        <v>16.47028</v>
      </c>
      <c r="F86" s="0" t="n">
        <v>17.44682</v>
      </c>
      <c r="G86" s="0" t="n">
        <v>14.44664</v>
      </c>
      <c r="H86" s="0" t="n">
        <v>16.25058</v>
      </c>
      <c r="I86" s="0" t="n">
        <v>14.18255</v>
      </c>
      <c r="J86" s="0" t="n">
        <v>14.63441</v>
      </c>
      <c r="K86" s="0" t="n">
        <v>16.77841</v>
      </c>
      <c r="L86" s="0" t="n">
        <v>15.94854</v>
      </c>
      <c r="M86" s="0" t="n">
        <v>13.98648</v>
      </c>
      <c r="N86" s="0" t="n">
        <v>17.60104</v>
      </c>
      <c r="O86" s="0" t="n">
        <v>13.44255</v>
      </c>
      <c r="P86" s="0" t="n">
        <v>18.21409</v>
      </c>
      <c r="Q86" s="0" t="n">
        <v>16.17483</v>
      </c>
      <c r="R86" s="0" t="n">
        <v>14.15474</v>
      </c>
      <c r="S86" s="0" t="n">
        <v>17.50603</v>
      </c>
      <c r="T86" s="0" t="n">
        <v>16.65704</v>
      </c>
      <c r="U86" s="0" t="n">
        <v>16.23195</v>
      </c>
      <c r="V86" s="0" t="n">
        <v>16.56483</v>
      </c>
      <c r="W86" s="0" t="n">
        <v>15.38104</v>
      </c>
      <c r="X86" s="0" t="n">
        <v>16.38083</v>
      </c>
      <c r="Y86" s="0" t="n">
        <v>15.64982</v>
      </c>
      <c r="Z86" s="0" t="n">
        <v>17.63261</v>
      </c>
      <c r="AA86" s="0" t="n">
        <v>18.0426</v>
      </c>
      <c r="AB86" s="0" t="n">
        <v>17.98776</v>
      </c>
      <c r="AC86" s="0" t="n">
        <v>14.7754</v>
      </c>
      <c r="AD86" s="0" t="n">
        <v>18.0358</v>
      </c>
      <c r="AE86" s="0" t="n">
        <v>5</v>
      </c>
      <c r="AF86" s="0" t="n">
        <v>5</v>
      </c>
      <c r="AG86" s="0" t="n">
        <v>5</v>
      </c>
      <c r="AH86" s="0" t="n">
        <v>24.2</v>
      </c>
      <c r="AI86" s="0" t="n">
        <v>24.2</v>
      </c>
      <c r="AJ86" s="0" t="n">
        <v>24.2</v>
      </c>
      <c r="AK86" s="0" t="n">
        <v>52.286</v>
      </c>
      <c r="AL86" s="0" t="n">
        <v>0</v>
      </c>
      <c r="AM86" s="0" t="n">
        <v>20.149</v>
      </c>
      <c r="AN86" s="0" t="n">
        <v>3076900</v>
      </c>
      <c r="AO86" s="0" t="n">
        <v>30</v>
      </c>
      <c r="AP86" s="0" t="s">
        <v>429</v>
      </c>
      <c r="AQ86" s="0" t="s">
        <v>430</v>
      </c>
      <c r="AR86" s="0" t="s">
        <v>87</v>
      </c>
      <c r="AU86" s="0" t="n">
        <v>177</v>
      </c>
    </row>
    <row r="87" customFormat="false" ht="15" hidden="false" customHeight="false" outlineLevel="0" collapsed="false">
      <c r="A87" s="0" t="s">
        <v>435</v>
      </c>
      <c r="B87" s="0" t="s">
        <v>433</v>
      </c>
      <c r="C87" s="0" t="s">
        <v>434</v>
      </c>
      <c r="D87" s="0" t="n">
        <v>20.80507</v>
      </c>
      <c r="E87" s="0" t="n">
        <v>20.7032</v>
      </c>
      <c r="F87" s="0" t="n">
        <v>22.26674</v>
      </c>
      <c r="G87" s="0" t="n">
        <v>20.40114</v>
      </c>
      <c r="H87" s="0" t="n">
        <v>20.80357</v>
      </c>
      <c r="I87" s="0" t="n">
        <v>21.69353</v>
      </c>
      <c r="J87" s="0" t="n">
        <v>21.16681</v>
      </c>
      <c r="K87" s="0" t="n">
        <v>21.48015</v>
      </c>
      <c r="L87" s="0" t="n">
        <v>20.57228</v>
      </c>
      <c r="M87" s="0" t="n">
        <v>19.64938</v>
      </c>
      <c r="N87" s="0" t="n">
        <v>16.39241</v>
      </c>
      <c r="O87" s="0" t="n">
        <v>20.02134</v>
      </c>
      <c r="P87" s="0" t="n">
        <v>20.53022</v>
      </c>
      <c r="Q87" s="0" t="n">
        <v>22.6685</v>
      </c>
      <c r="R87" s="0" t="n">
        <v>21.48035</v>
      </c>
      <c r="S87" s="0" t="n">
        <v>21.58252</v>
      </c>
      <c r="T87" s="0" t="n">
        <v>21.46628</v>
      </c>
      <c r="U87" s="0" t="n">
        <v>21.05457</v>
      </c>
      <c r="V87" s="0" t="n">
        <v>21.45904</v>
      </c>
      <c r="W87" s="0" t="n">
        <v>21.63763</v>
      </c>
      <c r="X87" s="0" t="n">
        <v>21.73698</v>
      </c>
      <c r="Y87" s="0" t="n">
        <v>21.48089</v>
      </c>
      <c r="Z87" s="0" t="n">
        <v>21.93297</v>
      </c>
      <c r="AA87" s="0" t="n">
        <v>21.4207</v>
      </c>
      <c r="AB87" s="0" t="n">
        <v>21.83341</v>
      </c>
      <c r="AC87" s="0" t="n">
        <v>21.2447</v>
      </c>
      <c r="AD87" s="0" t="n">
        <v>22.00577</v>
      </c>
      <c r="AE87" s="0" t="n">
        <v>9</v>
      </c>
      <c r="AF87" s="0" t="n">
        <v>6</v>
      </c>
      <c r="AG87" s="0" t="n">
        <v>6</v>
      </c>
      <c r="AH87" s="0" t="n">
        <v>43.8</v>
      </c>
      <c r="AI87" s="0" t="n">
        <v>31.3</v>
      </c>
      <c r="AJ87" s="0" t="n">
        <v>31.3</v>
      </c>
      <c r="AK87" s="0" t="n">
        <v>23.602</v>
      </c>
      <c r="AL87" s="0" t="n">
        <v>0</v>
      </c>
      <c r="AM87" s="0" t="n">
        <v>323.31</v>
      </c>
      <c r="AN87" s="0" t="n">
        <v>92809000</v>
      </c>
      <c r="AO87" s="0" t="n">
        <v>100</v>
      </c>
      <c r="AP87" s="0" t="s">
        <v>433</v>
      </c>
      <c r="AQ87" s="0" t="s">
        <v>433</v>
      </c>
      <c r="AR87" s="0" t="s">
        <v>436</v>
      </c>
      <c r="AS87" s="0" t="n">
        <v>109</v>
      </c>
      <c r="AT87" s="0" t="n">
        <v>129</v>
      </c>
      <c r="AU87" s="0" t="n">
        <v>179</v>
      </c>
    </row>
    <row r="88" customFormat="false" ht="15" hidden="false" customHeight="false" outlineLevel="0" collapsed="false">
      <c r="A88" s="0" t="s">
        <v>440</v>
      </c>
      <c r="B88" s="0" t="s">
        <v>438</v>
      </c>
      <c r="C88" s="0" t="s">
        <v>439</v>
      </c>
      <c r="D88" s="0" t="n">
        <v>21.01577</v>
      </c>
      <c r="E88" s="0" t="n">
        <v>21.36965</v>
      </c>
      <c r="F88" s="0" t="n">
        <v>20.76668</v>
      </c>
      <c r="G88" s="0" t="n">
        <v>20.22117</v>
      </c>
      <c r="H88" s="0" t="n">
        <v>21.47511</v>
      </c>
      <c r="I88" s="0" t="n">
        <v>20.96374</v>
      </c>
      <c r="J88" s="0" t="n">
        <v>21.093</v>
      </c>
      <c r="K88" s="0" t="n">
        <v>21.8511</v>
      </c>
      <c r="L88" s="0" t="n">
        <v>20.67926</v>
      </c>
      <c r="M88" s="0" t="n">
        <v>20.85323</v>
      </c>
      <c r="N88" s="0" t="n">
        <v>19.77378</v>
      </c>
      <c r="O88" s="0" t="n">
        <v>21.57907</v>
      </c>
      <c r="P88" s="0" t="n">
        <v>21.90566</v>
      </c>
      <c r="Q88" s="0" t="n">
        <v>22.48094</v>
      </c>
      <c r="R88" s="0" t="n">
        <v>20.72392</v>
      </c>
      <c r="S88" s="0" t="n">
        <v>21.48675</v>
      </c>
      <c r="T88" s="0" t="n">
        <v>21.99355</v>
      </c>
      <c r="U88" s="0" t="n">
        <v>21.79923</v>
      </c>
      <c r="V88" s="0" t="n">
        <v>21.31424</v>
      </c>
      <c r="W88" s="0" t="n">
        <v>21.65696</v>
      </c>
      <c r="X88" s="0" t="n">
        <v>21.34061</v>
      </c>
      <c r="Y88" s="0" t="n">
        <v>20.46842</v>
      </c>
      <c r="Z88" s="0" t="n">
        <v>21.36448</v>
      </c>
      <c r="AA88" s="0" t="n">
        <v>21.34126</v>
      </c>
      <c r="AB88" s="0" t="n">
        <v>21.07176</v>
      </c>
      <c r="AC88" s="0" t="n">
        <v>21.54534</v>
      </c>
      <c r="AD88" s="0" t="n">
        <v>21.38015</v>
      </c>
      <c r="AE88" s="0" t="n">
        <v>19</v>
      </c>
      <c r="AF88" s="0" t="n">
        <v>19</v>
      </c>
      <c r="AG88" s="0" t="n">
        <v>19</v>
      </c>
      <c r="AH88" s="0" t="n">
        <v>29.9</v>
      </c>
      <c r="AI88" s="0" t="n">
        <v>29.9</v>
      </c>
      <c r="AJ88" s="0" t="n">
        <v>29.9</v>
      </c>
      <c r="AK88" s="0" t="n">
        <v>105.21</v>
      </c>
      <c r="AL88" s="0" t="n">
        <v>0</v>
      </c>
      <c r="AM88" s="0" t="n">
        <v>323.31</v>
      </c>
      <c r="AN88" s="0" t="n">
        <v>101480000</v>
      </c>
      <c r="AO88" s="0" t="n">
        <v>296</v>
      </c>
      <c r="AP88" s="0" t="s">
        <v>437</v>
      </c>
      <c r="AQ88" s="0" t="s">
        <v>438</v>
      </c>
      <c r="AR88" s="0" t="s">
        <v>441</v>
      </c>
      <c r="AS88" s="0" t="n">
        <v>110</v>
      </c>
      <c r="AT88" s="0" t="n">
        <v>151</v>
      </c>
      <c r="AU88" s="0" t="n">
        <v>180</v>
      </c>
    </row>
    <row r="89" customFormat="false" ht="15" hidden="false" customHeight="false" outlineLevel="0" collapsed="false">
      <c r="A89" s="0" t="s">
        <v>445</v>
      </c>
      <c r="B89" s="0" t="s">
        <v>443</v>
      </c>
      <c r="C89" s="0" t="s">
        <v>444</v>
      </c>
      <c r="D89" s="0" t="n">
        <v>21.48851</v>
      </c>
      <c r="E89" s="0" t="n">
        <v>20.80617</v>
      </c>
      <c r="F89" s="0" t="n">
        <v>22.3644</v>
      </c>
      <c r="G89" s="0" t="n">
        <v>21.32564</v>
      </c>
      <c r="H89" s="0" t="n">
        <v>20.9315</v>
      </c>
      <c r="I89" s="0" t="n">
        <v>21.57191</v>
      </c>
      <c r="J89" s="0" t="n">
        <v>20.61468</v>
      </c>
      <c r="K89" s="0" t="n">
        <v>21.34597</v>
      </c>
      <c r="L89" s="0" t="n">
        <v>21.65106</v>
      </c>
      <c r="M89" s="0" t="n">
        <v>21.08784</v>
      </c>
      <c r="N89" s="0" t="n">
        <v>21.10655</v>
      </c>
      <c r="O89" s="0" t="n">
        <v>20.1437</v>
      </c>
      <c r="P89" s="0" t="n">
        <v>21.75005</v>
      </c>
      <c r="Q89" s="0" t="n">
        <v>21.66336</v>
      </c>
      <c r="R89" s="0" t="n">
        <v>20.21939</v>
      </c>
      <c r="S89" s="0" t="n">
        <v>20.98183</v>
      </c>
      <c r="T89" s="0" t="n">
        <v>21.73037</v>
      </c>
      <c r="U89" s="0" t="n">
        <v>21.61392</v>
      </c>
      <c r="V89" s="0" t="n">
        <v>21.32509</v>
      </c>
      <c r="W89" s="0" t="n">
        <v>21.48974</v>
      </c>
      <c r="X89" s="0" t="n">
        <v>21.679</v>
      </c>
      <c r="Y89" s="0" t="n">
        <v>21.33957</v>
      </c>
      <c r="Z89" s="0" t="n">
        <v>21.98735</v>
      </c>
      <c r="AA89" s="0" t="n">
        <v>21.61531</v>
      </c>
      <c r="AB89" s="0" t="n">
        <v>21.31252</v>
      </c>
      <c r="AC89" s="0" t="n">
        <v>21.98694</v>
      </c>
      <c r="AD89" s="0" t="n">
        <v>21.50101</v>
      </c>
      <c r="AE89" s="0" t="n">
        <v>24</v>
      </c>
      <c r="AF89" s="0" t="n">
        <v>24</v>
      </c>
      <c r="AG89" s="0" t="n">
        <v>24</v>
      </c>
      <c r="AH89" s="0" t="n">
        <v>36</v>
      </c>
      <c r="AI89" s="0" t="n">
        <v>36</v>
      </c>
      <c r="AJ89" s="0" t="n">
        <v>36</v>
      </c>
      <c r="AK89" s="0" t="n">
        <v>101.39</v>
      </c>
      <c r="AL89" s="0" t="n">
        <v>0</v>
      </c>
      <c r="AM89" s="0" t="n">
        <v>323.31</v>
      </c>
      <c r="AN89" s="0" t="n">
        <v>102750000</v>
      </c>
      <c r="AO89" s="0" t="n">
        <v>286</v>
      </c>
      <c r="AP89" s="0" t="s">
        <v>442</v>
      </c>
      <c r="AQ89" s="0" t="s">
        <v>443</v>
      </c>
      <c r="AR89" s="0" t="s">
        <v>177</v>
      </c>
      <c r="AU89" s="0" t="n">
        <v>181</v>
      </c>
    </row>
    <row r="90" customFormat="false" ht="15" hidden="false" customHeight="false" outlineLevel="0" collapsed="false">
      <c r="A90" s="0" t="s">
        <v>449</v>
      </c>
      <c r="B90" s="0" t="s">
        <v>447</v>
      </c>
      <c r="C90" s="0" t="s">
        <v>448</v>
      </c>
      <c r="D90" s="0" t="n">
        <v>15.32372</v>
      </c>
      <c r="E90" s="0" t="n">
        <v>14.51039</v>
      </c>
      <c r="F90" s="0" t="n">
        <v>14.95665</v>
      </c>
      <c r="G90" s="0" t="n">
        <v>13.45529</v>
      </c>
      <c r="H90" s="0" t="n">
        <v>16.59731</v>
      </c>
      <c r="I90" s="0" t="n">
        <v>16.37533</v>
      </c>
      <c r="J90" s="0" t="n">
        <v>12.6089</v>
      </c>
      <c r="K90" s="0" t="n">
        <v>16.73516</v>
      </c>
      <c r="L90" s="0" t="n">
        <v>15.78023</v>
      </c>
      <c r="M90" s="0" t="n">
        <v>14.33155</v>
      </c>
      <c r="N90" s="0" t="n">
        <v>21.14582</v>
      </c>
      <c r="O90" s="0" t="n">
        <v>20.53763</v>
      </c>
      <c r="P90" s="0" t="n">
        <v>18.92268</v>
      </c>
      <c r="Q90" s="0" t="n">
        <v>15.27583</v>
      </c>
      <c r="R90" s="0" t="n">
        <v>12.71984</v>
      </c>
      <c r="S90" s="0" t="n">
        <v>18.4853</v>
      </c>
      <c r="T90" s="0" t="n">
        <v>18.30113</v>
      </c>
      <c r="U90" s="0" t="n">
        <v>18.10482</v>
      </c>
      <c r="V90" s="0" t="n">
        <v>17.57688</v>
      </c>
      <c r="W90" s="0" t="n">
        <v>15.51856</v>
      </c>
      <c r="X90" s="0" t="n">
        <v>16.55499</v>
      </c>
      <c r="Y90" s="0" t="n">
        <v>21.98384</v>
      </c>
      <c r="Z90" s="0" t="n">
        <v>13.80312</v>
      </c>
      <c r="AA90" s="0" t="n">
        <v>17.69534</v>
      </c>
      <c r="AB90" s="0" t="n">
        <v>13.65765</v>
      </c>
      <c r="AC90" s="0" t="n">
        <v>13.91933</v>
      </c>
      <c r="AD90" s="0" t="n">
        <v>15.99612</v>
      </c>
      <c r="AE90" s="0" t="n">
        <v>29</v>
      </c>
      <c r="AF90" s="0" t="n">
        <v>21</v>
      </c>
      <c r="AG90" s="0" t="n">
        <v>21</v>
      </c>
      <c r="AH90" s="0" t="n">
        <v>28.2</v>
      </c>
      <c r="AI90" s="0" t="n">
        <v>21.5</v>
      </c>
      <c r="AJ90" s="0" t="n">
        <v>21.5</v>
      </c>
      <c r="AK90" s="0" t="n">
        <v>163.86</v>
      </c>
      <c r="AL90" s="0" t="n">
        <v>0</v>
      </c>
      <c r="AM90" s="0" t="n">
        <v>21.892</v>
      </c>
      <c r="AN90" s="0" t="n">
        <v>15008000</v>
      </c>
      <c r="AO90" s="0" t="n">
        <v>71</v>
      </c>
      <c r="AP90" s="0" t="s">
        <v>446</v>
      </c>
      <c r="AQ90" s="0" t="s">
        <v>447</v>
      </c>
      <c r="AR90" s="0" t="s">
        <v>450</v>
      </c>
      <c r="AU90" s="0" t="n">
        <v>182</v>
      </c>
    </row>
    <row r="91" customFormat="false" ht="15" hidden="false" customHeight="false" outlineLevel="0" collapsed="false">
      <c r="A91" s="0" t="s">
        <v>454</v>
      </c>
      <c r="B91" s="0" t="s">
        <v>452</v>
      </c>
      <c r="C91" s="0" t="s">
        <v>453</v>
      </c>
      <c r="D91" s="0" t="n">
        <v>15.10754</v>
      </c>
      <c r="E91" s="0" t="n">
        <v>15.49235</v>
      </c>
      <c r="F91" s="0" t="n">
        <v>16.9119</v>
      </c>
      <c r="G91" s="0" t="n">
        <v>13.56719</v>
      </c>
      <c r="H91" s="0" t="n">
        <v>14.89415</v>
      </c>
      <c r="I91" s="0" t="n">
        <v>14.24711</v>
      </c>
      <c r="J91" s="0" t="n">
        <v>15.07217</v>
      </c>
      <c r="K91" s="0" t="n">
        <v>15.64338</v>
      </c>
      <c r="L91" s="0" t="n">
        <v>15.11077</v>
      </c>
      <c r="M91" s="0" t="n">
        <v>13.57362</v>
      </c>
      <c r="N91" s="0" t="n">
        <v>17.25868</v>
      </c>
      <c r="O91" s="0" t="n">
        <v>13.87584</v>
      </c>
      <c r="P91" s="0" t="n">
        <v>15.49182</v>
      </c>
      <c r="Q91" s="0" t="n">
        <v>15.37606</v>
      </c>
      <c r="R91" s="0" t="n">
        <v>14.63243</v>
      </c>
      <c r="S91" s="0" t="n">
        <v>15.70206</v>
      </c>
      <c r="T91" s="0" t="n">
        <v>15.58008</v>
      </c>
      <c r="U91" s="0" t="n">
        <v>15.59797</v>
      </c>
      <c r="V91" s="0" t="n">
        <v>15.48944</v>
      </c>
      <c r="W91" s="0" t="n">
        <v>15.17235</v>
      </c>
      <c r="X91" s="0" t="n">
        <v>15.01542</v>
      </c>
      <c r="Y91" s="0" t="n">
        <v>14.97186</v>
      </c>
      <c r="Z91" s="0" t="n">
        <v>15.24414</v>
      </c>
      <c r="AA91" s="0" t="n">
        <v>15.46687</v>
      </c>
      <c r="AB91" s="0" t="n">
        <v>15.80919</v>
      </c>
      <c r="AC91" s="0" t="n">
        <v>14.93999</v>
      </c>
      <c r="AD91" s="0" t="n">
        <v>18.01182</v>
      </c>
      <c r="AE91" s="0" t="n">
        <v>4</v>
      </c>
      <c r="AF91" s="0" t="n">
        <v>4</v>
      </c>
      <c r="AG91" s="0" t="n">
        <v>4</v>
      </c>
      <c r="AH91" s="0" t="n">
        <v>25.5</v>
      </c>
      <c r="AI91" s="0" t="n">
        <v>25.5</v>
      </c>
      <c r="AJ91" s="0" t="n">
        <v>25.5</v>
      </c>
      <c r="AK91" s="0" t="n">
        <v>28.286</v>
      </c>
      <c r="AL91" s="0" t="n">
        <v>0</v>
      </c>
      <c r="AM91" s="0" t="n">
        <v>1.8871</v>
      </c>
      <c r="AN91" s="0" t="n">
        <v>1557500</v>
      </c>
      <c r="AO91" s="0" t="n">
        <v>8</v>
      </c>
      <c r="AP91" s="0" t="s">
        <v>451</v>
      </c>
      <c r="AQ91" s="0" t="s">
        <v>452</v>
      </c>
      <c r="AR91" s="0" t="s">
        <v>135</v>
      </c>
      <c r="AU91" s="0" t="n">
        <v>183</v>
      </c>
    </row>
    <row r="92" customFormat="false" ht="15" hidden="false" customHeight="false" outlineLevel="0" collapsed="false">
      <c r="A92" s="0" t="s">
        <v>457</v>
      </c>
      <c r="B92" s="0" t="s">
        <v>455</v>
      </c>
      <c r="C92" s="0" t="s">
        <v>456</v>
      </c>
      <c r="D92" s="0" t="n">
        <v>16.21534</v>
      </c>
      <c r="E92" s="0" t="n">
        <v>16.30048</v>
      </c>
      <c r="F92" s="0" t="n">
        <v>15.61976</v>
      </c>
      <c r="G92" s="0" t="n">
        <v>16.16632</v>
      </c>
      <c r="H92" s="0" t="n">
        <v>17.03585</v>
      </c>
      <c r="I92" s="0" t="n">
        <v>16.39178</v>
      </c>
      <c r="J92" s="0" t="n">
        <v>15.98471</v>
      </c>
      <c r="K92" s="0" t="n">
        <v>16.69411</v>
      </c>
      <c r="L92" s="0" t="n">
        <v>16.23013</v>
      </c>
      <c r="M92" s="0" t="n">
        <v>15.44928</v>
      </c>
      <c r="N92" s="0" t="n">
        <v>16.50285</v>
      </c>
      <c r="O92" s="0" t="n">
        <v>15.37819</v>
      </c>
      <c r="P92" s="0" t="n">
        <v>17.1449</v>
      </c>
      <c r="Q92" s="0" t="n">
        <v>19.25403</v>
      </c>
      <c r="R92" s="0" t="n">
        <v>16.11405</v>
      </c>
      <c r="S92" s="0" t="n">
        <v>17.01574</v>
      </c>
      <c r="T92" s="0" t="n">
        <v>16.02393</v>
      </c>
      <c r="U92" s="0" t="n">
        <v>16.37154</v>
      </c>
      <c r="V92" s="0" t="n">
        <v>16.5501</v>
      </c>
      <c r="W92" s="0" t="n">
        <v>16.15853</v>
      </c>
      <c r="X92" s="0" t="n">
        <v>17.90006</v>
      </c>
      <c r="Y92" s="0" t="n">
        <v>16.64118</v>
      </c>
      <c r="Z92" s="0" t="n">
        <v>17.71773</v>
      </c>
      <c r="AA92" s="0" t="n">
        <v>17.4803</v>
      </c>
      <c r="AB92" s="0" t="n">
        <v>17.48093</v>
      </c>
      <c r="AC92" s="0" t="n">
        <v>17.06855</v>
      </c>
      <c r="AD92" s="0" t="n">
        <v>16.80663</v>
      </c>
      <c r="AE92" s="0" t="n">
        <v>5</v>
      </c>
      <c r="AF92" s="0" t="n">
        <v>5</v>
      </c>
      <c r="AG92" s="0" t="n">
        <v>5</v>
      </c>
      <c r="AH92" s="0" t="n">
        <v>13.4</v>
      </c>
      <c r="AI92" s="0" t="n">
        <v>13.4</v>
      </c>
      <c r="AJ92" s="0" t="n">
        <v>13.4</v>
      </c>
      <c r="AK92" s="0" t="n">
        <v>60.556</v>
      </c>
      <c r="AL92" s="0" t="n">
        <v>0</v>
      </c>
      <c r="AM92" s="0" t="n">
        <v>20.045</v>
      </c>
      <c r="AN92" s="0" t="n">
        <v>4620800</v>
      </c>
      <c r="AO92" s="0" t="n">
        <v>34</v>
      </c>
      <c r="AP92" s="0" t="s">
        <v>455</v>
      </c>
      <c r="AQ92" s="0" t="s">
        <v>455</v>
      </c>
      <c r="AR92" s="0" t="s">
        <v>87</v>
      </c>
      <c r="AU92" s="0" t="n">
        <v>184</v>
      </c>
    </row>
    <row r="93" customFormat="false" ht="15" hidden="false" customHeight="false" outlineLevel="0" collapsed="false">
      <c r="A93" s="0" t="s">
        <v>461</v>
      </c>
      <c r="B93" s="0" t="s">
        <v>459</v>
      </c>
      <c r="C93" s="0" t="s">
        <v>460</v>
      </c>
      <c r="D93" s="0" t="n">
        <v>18.20366</v>
      </c>
      <c r="E93" s="0" t="n">
        <v>17.7198</v>
      </c>
      <c r="F93" s="0" t="n">
        <v>16.20067</v>
      </c>
      <c r="G93" s="0" t="n">
        <v>17.60545</v>
      </c>
      <c r="H93" s="0" t="n">
        <v>18.06071</v>
      </c>
      <c r="I93" s="0" t="n">
        <v>19.27846</v>
      </c>
      <c r="J93" s="0" t="n">
        <v>16.86677</v>
      </c>
      <c r="K93" s="0" t="n">
        <v>17.65166</v>
      </c>
      <c r="L93" s="0" t="n">
        <v>17.8114</v>
      </c>
      <c r="M93" s="0" t="n">
        <v>16.71733</v>
      </c>
      <c r="N93" s="0" t="n">
        <v>16.7264</v>
      </c>
      <c r="O93" s="0" t="n">
        <v>15.79791</v>
      </c>
      <c r="P93" s="0" t="n">
        <v>17.48589</v>
      </c>
      <c r="Q93" s="0" t="n">
        <v>17.25248</v>
      </c>
      <c r="R93" s="0" t="n">
        <v>15.63385</v>
      </c>
      <c r="S93" s="0" t="n">
        <v>17.5882</v>
      </c>
      <c r="T93" s="0" t="n">
        <v>17.87273</v>
      </c>
      <c r="U93" s="0" t="n">
        <v>18.25553</v>
      </c>
      <c r="V93" s="0" t="n">
        <v>17.20074</v>
      </c>
      <c r="W93" s="0" t="n">
        <v>17.40699</v>
      </c>
      <c r="X93" s="0" t="n">
        <v>18.42095</v>
      </c>
      <c r="Y93" s="0" t="n">
        <v>16.28697</v>
      </c>
      <c r="Z93" s="0" t="n">
        <v>17.11411</v>
      </c>
      <c r="AA93" s="0" t="n">
        <v>17.01618</v>
      </c>
      <c r="AB93" s="0" t="n">
        <v>17.42718</v>
      </c>
      <c r="AC93" s="0" t="n">
        <v>18.64058</v>
      </c>
      <c r="AD93" s="0" t="n">
        <v>17.10575</v>
      </c>
      <c r="AE93" s="0" t="n">
        <v>8</v>
      </c>
      <c r="AF93" s="0" t="n">
        <v>8</v>
      </c>
      <c r="AG93" s="0" t="n">
        <v>8</v>
      </c>
      <c r="AH93" s="0" t="n">
        <v>19.8</v>
      </c>
      <c r="AI93" s="0" t="n">
        <v>19.8</v>
      </c>
      <c r="AJ93" s="0" t="n">
        <v>19.8</v>
      </c>
      <c r="AK93" s="0" t="n">
        <v>77.213</v>
      </c>
      <c r="AL93" s="0" t="n">
        <v>0</v>
      </c>
      <c r="AM93" s="0" t="n">
        <v>27.078</v>
      </c>
      <c r="AN93" s="0" t="n">
        <v>7098400</v>
      </c>
      <c r="AO93" s="0" t="n">
        <v>64</v>
      </c>
      <c r="AP93" s="0" t="s">
        <v>458</v>
      </c>
      <c r="AQ93" s="0" t="s">
        <v>459</v>
      </c>
      <c r="AR93" s="0" t="s">
        <v>296</v>
      </c>
      <c r="AU93" s="0" t="n">
        <v>185</v>
      </c>
    </row>
    <row r="94" customFormat="false" ht="15" hidden="false" customHeight="false" outlineLevel="0" collapsed="false">
      <c r="A94" s="0" t="s">
        <v>465</v>
      </c>
      <c r="B94" s="0" t="s">
        <v>463</v>
      </c>
      <c r="C94" s="0" t="s">
        <v>464</v>
      </c>
      <c r="D94" s="0" t="n">
        <v>18.74258</v>
      </c>
      <c r="E94" s="0" t="n">
        <v>20.3739</v>
      </c>
      <c r="F94" s="0" t="n">
        <v>19.47203</v>
      </c>
      <c r="G94" s="0" t="n">
        <v>18.95875</v>
      </c>
      <c r="H94" s="0" t="n">
        <v>19.41394</v>
      </c>
      <c r="I94" s="0" t="n">
        <v>18.9999</v>
      </c>
      <c r="J94" s="0" t="n">
        <v>19.19998</v>
      </c>
      <c r="K94" s="0" t="n">
        <v>18.6988</v>
      </c>
      <c r="L94" s="0" t="n">
        <v>19.05006</v>
      </c>
      <c r="M94" s="0" t="n">
        <v>19.60845</v>
      </c>
      <c r="N94" s="0" t="n">
        <v>16.06647</v>
      </c>
      <c r="O94" s="0" t="n">
        <v>20.13207</v>
      </c>
      <c r="P94" s="0" t="n">
        <v>19.56205</v>
      </c>
      <c r="Q94" s="0" t="n">
        <v>21.12711</v>
      </c>
      <c r="R94" s="0" t="n">
        <v>19.39597</v>
      </c>
      <c r="S94" s="0" t="n">
        <v>20.04153</v>
      </c>
      <c r="T94" s="0" t="n">
        <v>20.09249</v>
      </c>
      <c r="U94" s="0" t="n">
        <v>19.55617</v>
      </c>
      <c r="V94" s="0" t="n">
        <v>18.92989</v>
      </c>
      <c r="W94" s="0" t="n">
        <v>18.69619</v>
      </c>
      <c r="X94" s="0" t="n">
        <v>19.5465</v>
      </c>
      <c r="Y94" s="0" t="n">
        <v>18.55281</v>
      </c>
      <c r="Z94" s="0" t="n">
        <v>19.70875</v>
      </c>
      <c r="AA94" s="0" t="n">
        <v>19.30189</v>
      </c>
      <c r="AB94" s="0" t="n">
        <v>19.60932</v>
      </c>
      <c r="AC94" s="0" t="n">
        <v>19.30301</v>
      </c>
      <c r="AD94" s="0" t="n">
        <v>19.06129</v>
      </c>
      <c r="AE94" s="0" t="n">
        <v>10</v>
      </c>
      <c r="AF94" s="0" t="n">
        <v>10</v>
      </c>
      <c r="AG94" s="0" t="n">
        <v>10</v>
      </c>
      <c r="AH94" s="0" t="n">
        <v>38.6</v>
      </c>
      <c r="AI94" s="0" t="n">
        <v>38.6</v>
      </c>
      <c r="AJ94" s="0" t="n">
        <v>38.6</v>
      </c>
      <c r="AK94" s="0" t="n">
        <v>34.258</v>
      </c>
      <c r="AL94" s="0" t="n">
        <v>0</v>
      </c>
      <c r="AM94" s="0" t="n">
        <v>53.526</v>
      </c>
      <c r="AN94" s="0" t="n">
        <v>27552000</v>
      </c>
      <c r="AO94" s="0" t="n">
        <v>59</v>
      </c>
      <c r="AP94" s="0" t="s">
        <v>462</v>
      </c>
      <c r="AQ94" s="0" t="s">
        <v>463</v>
      </c>
      <c r="AR94" s="0" t="s">
        <v>145</v>
      </c>
      <c r="AU94" s="0" t="n">
        <v>186</v>
      </c>
    </row>
    <row r="95" customFormat="false" ht="15" hidden="false" customHeight="false" outlineLevel="0" collapsed="false">
      <c r="A95" s="0" t="s">
        <v>469</v>
      </c>
      <c r="B95" s="0" t="s">
        <v>467</v>
      </c>
      <c r="C95" s="0" t="s">
        <v>468</v>
      </c>
      <c r="D95" s="0" t="n">
        <v>20.18423</v>
      </c>
      <c r="E95" s="0" t="n">
        <v>19.78547</v>
      </c>
      <c r="F95" s="0" t="n">
        <v>20.338</v>
      </c>
      <c r="G95" s="0" t="n">
        <v>19.59407</v>
      </c>
      <c r="H95" s="0" t="n">
        <v>20.21039</v>
      </c>
      <c r="I95" s="0" t="n">
        <v>19.21748</v>
      </c>
      <c r="J95" s="0" t="n">
        <v>19.89071</v>
      </c>
      <c r="K95" s="0" t="n">
        <v>19.52571</v>
      </c>
      <c r="L95" s="0" t="n">
        <v>20.62845</v>
      </c>
      <c r="M95" s="0" t="n">
        <v>18.9613</v>
      </c>
      <c r="N95" s="0" t="n">
        <v>16.92265</v>
      </c>
      <c r="O95" s="0" t="n">
        <v>18.28225</v>
      </c>
      <c r="P95" s="0" t="n">
        <v>20.61612</v>
      </c>
      <c r="Q95" s="0" t="n">
        <v>21.6329</v>
      </c>
      <c r="R95" s="0" t="n">
        <v>18.72511</v>
      </c>
      <c r="S95" s="0" t="n">
        <v>20.32378</v>
      </c>
      <c r="T95" s="0" t="n">
        <v>20.51268</v>
      </c>
      <c r="U95" s="0" t="n">
        <v>19.61678</v>
      </c>
      <c r="V95" s="0" t="n">
        <v>19.85679</v>
      </c>
      <c r="W95" s="0" t="n">
        <v>19.27292</v>
      </c>
      <c r="X95" s="0" t="n">
        <v>18.36029</v>
      </c>
      <c r="Y95" s="0" t="n">
        <v>19.24714</v>
      </c>
      <c r="Z95" s="0" t="n">
        <v>20.43227</v>
      </c>
      <c r="AA95" s="0" t="n">
        <v>20.33876</v>
      </c>
      <c r="AB95" s="0" t="n">
        <v>20.16656</v>
      </c>
      <c r="AC95" s="0" t="n">
        <v>19.62558</v>
      </c>
      <c r="AD95" s="0" t="n">
        <v>19.66541</v>
      </c>
      <c r="AE95" s="0" t="n">
        <v>9</v>
      </c>
      <c r="AF95" s="0" t="n">
        <v>9</v>
      </c>
      <c r="AG95" s="0" t="n">
        <v>9</v>
      </c>
      <c r="AH95" s="0" t="n">
        <v>45.9</v>
      </c>
      <c r="AI95" s="0" t="n">
        <v>45.9</v>
      </c>
      <c r="AJ95" s="0" t="n">
        <v>45.9</v>
      </c>
      <c r="AK95" s="0" t="n">
        <v>39.731</v>
      </c>
      <c r="AL95" s="0" t="n">
        <v>0</v>
      </c>
      <c r="AM95" s="0" t="n">
        <v>69.365</v>
      </c>
      <c r="AN95" s="0" t="n">
        <v>36309000</v>
      </c>
      <c r="AO95" s="0" t="n">
        <v>157</v>
      </c>
      <c r="AP95" s="0" t="s">
        <v>466</v>
      </c>
      <c r="AQ95" s="0" t="s">
        <v>467</v>
      </c>
      <c r="AR95" s="0" t="s">
        <v>226</v>
      </c>
      <c r="AU95" s="0" t="n">
        <v>187</v>
      </c>
    </row>
    <row r="96" customFormat="false" ht="15" hidden="false" customHeight="false" outlineLevel="0" collapsed="false">
      <c r="A96" s="0" t="s">
        <v>472</v>
      </c>
      <c r="B96" s="0" t="s">
        <v>470</v>
      </c>
      <c r="C96" s="0" t="s">
        <v>471</v>
      </c>
      <c r="D96" s="0" t="n">
        <v>16.72294</v>
      </c>
      <c r="E96" s="0" t="n">
        <v>17.20762</v>
      </c>
      <c r="F96" s="0" t="n">
        <v>16.06933</v>
      </c>
      <c r="G96" s="0" t="n">
        <v>16.74255</v>
      </c>
      <c r="H96" s="0" t="n">
        <v>16.72813</v>
      </c>
      <c r="I96" s="0" t="n">
        <v>16.86979</v>
      </c>
      <c r="J96" s="0" t="n">
        <v>16.30706</v>
      </c>
      <c r="K96" s="0" t="n">
        <v>17.07096</v>
      </c>
      <c r="L96" s="0" t="n">
        <v>17.04473</v>
      </c>
      <c r="M96" s="0" t="n">
        <v>16.551</v>
      </c>
      <c r="N96" s="0" t="n">
        <v>16.54299</v>
      </c>
      <c r="O96" s="0" t="n">
        <v>16.5664</v>
      </c>
      <c r="P96" s="0" t="n">
        <v>16.7969</v>
      </c>
      <c r="Q96" s="0" t="n">
        <v>18.23949</v>
      </c>
      <c r="R96" s="0" t="n">
        <v>16.29385</v>
      </c>
      <c r="S96" s="0" t="n">
        <v>17.10738</v>
      </c>
      <c r="T96" s="0" t="n">
        <v>17.32034</v>
      </c>
      <c r="U96" s="0" t="n">
        <v>16.7086</v>
      </c>
      <c r="V96" s="0" t="n">
        <v>16.44239</v>
      </c>
      <c r="W96" s="0" t="n">
        <v>16.98415</v>
      </c>
      <c r="X96" s="0" t="n">
        <v>16.06617</v>
      </c>
      <c r="Y96" s="0" t="n">
        <v>17.40483</v>
      </c>
      <c r="Z96" s="0" t="n">
        <v>16.61367</v>
      </c>
      <c r="AA96" s="0" t="n">
        <v>16.67038</v>
      </c>
      <c r="AB96" s="0" t="n">
        <v>16.64188</v>
      </c>
      <c r="AC96" s="0" t="n">
        <v>16.76111</v>
      </c>
      <c r="AD96" s="0" t="n">
        <v>17.22769</v>
      </c>
      <c r="AE96" s="0" t="n">
        <v>10</v>
      </c>
      <c r="AF96" s="0" t="n">
        <v>10</v>
      </c>
      <c r="AG96" s="0" t="n">
        <v>10</v>
      </c>
      <c r="AH96" s="0" t="n">
        <v>33</v>
      </c>
      <c r="AI96" s="0" t="n">
        <v>33</v>
      </c>
      <c r="AJ96" s="0" t="n">
        <v>33</v>
      </c>
      <c r="AK96" s="0" t="n">
        <v>48.541</v>
      </c>
      <c r="AL96" s="0" t="n">
        <v>0</v>
      </c>
      <c r="AM96" s="0" t="n">
        <v>23.55</v>
      </c>
      <c r="AN96" s="0" t="n">
        <v>4140400</v>
      </c>
      <c r="AO96" s="0" t="n">
        <v>35</v>
      </c>
      <c r="AP96" s="0" t="s">
        <v>470</v>
      </c>
      <c r="AQ96" s="0" t="s">
        <v>470</v>
      </c>
      <c r="AR96" s="0" t="s">
        <v>145</v>
      </c>
      <c r="AU96" s="0" t="n">
        <v>188</v>
      </c>
    </row>
    <row r="97" customFormat="false" ht="15" hidden="false" customHeight="false" outlineLevel="0" collapsed="false">
      <c r="A97" s="0" t="s">
        <v>475</v>
      </c>
      <c r="B97" s="0" t="s">
        <v>473</v>
      </c>
      <c r="C97" s="0" t="s">
        <v>474</v>
      </c>
      <c r="D97" s="0" t="n">
        <v>18.01416</v>
      </c>
      <c r="E97" s="0" t="n">
        <v>18.01334</v>
      </c>
      <c r="F97" s="0" t="n">
        <v>17.68463</v>
      </c>
      <c r="G97" s="0" t="n">
        <v>16.36651</v>
      </c>
      <c r="H97" s="0" t="n">
        <v>17.46036</v>
      </c>
      <c r="I97" s="0" t="n">
        <v>17.54238</v>
      </c>
      <c r="J97" s="0" t="n">
        <v>17.27621</v>
      </c>
      <c r="K97" s="0" t="n">
        <v>18.2937</v>
      </c>
      <c r="L97" s="0" t="n">
        <v>17.29894</v>
      </c>
      <c r="M97" s="0" t="n">
        <v>17.42931</v>
      </c>
      <c r="N97" s="0" t="n">
        <v>16.81416</v>
      </c>
      <c r="O97" s="0" t="n">
        <v>16.37772</v>
      </c>
      <c r="P97" s="0" t="n">
        <v>18.57245</v>
      </c>
      <c r="Q97" s="0" t="n">
        <v>18.89051</v>
      </c>
      <c r="R97" s="0" t="n">
        <v>17.1433</v>
      </c>
      <c r="S97" s="0" t="n">
        <v>17.62557</v>
      </c>
      <c r="T97" s="0" t="n">
        <v>18.24623</v>
      </c>
      <c r="U97" s="0" t="n">
        <v>17.54857</v>
      </c>
      <c r="V97" s="0" t="n">
        <v>17.22213</v>
      </c>
      <c r="W97" s="0" t="n">
        <v>17.4935</v>
      </c>
      <c r="X97" s="0" t="n">
        <v>17.01531</v>
      </c>
      <c r="Y97" s="0" t="n">
        <v>17.77822</v>
      </c>
      <c r="Z97" s="0" t="n">
        <v>17.64997</v>
      </c>
      <c r="AA97" s="0" t="n">
        <v>17.86278</v>
      </c>
      <c r="AB97" s="0" t="n">
        <v>17.49826</v>
      </c>
      <c r="AC97" s="0" t="n">
        <v>17.80032</v>
      </c>
      <c r="AD97" s="0" t="n">
        <v>18.49518</v>
      </c>
      <c r="AE97" s="0" t="n">
        <v>10</v>
      </c>
      <c r="AF97" s="0" t="n">
        <v>10</v>
      </c>
      <c r="AG97" s="0" t="n">
        <v>10</v>
      </c>
      <c r="AH97" s="0" t="n">
        <v>23.8</v>
      </c>
      <c r="AI97" s="0" t="n">
        <v>23.8</v>
      </c>
      <c r="AJ97" s="0" t="n">
        <v>23.8</v>
      </c>
      <c r="AK97" s="0" t="n">
        <v>66.034</v>
      </c>
      <c r="AL97" s="0" t="n">
        <v>0</v>
      </c>
      <c r="AM97" s="0" t="n">
        <v>14.549</v>
      </c>
      <c r="AN97" s="0" t="n">
        <v>7670600</v>
      </c>
      <c r="AO97" s="0" t="n">
        <v>51</v>
      </c>
      <c r="AP97" s="0" t="s">
        <v>473</v>
      </c>
      <c r="AQ97" s="0" t="s">
        <v>473</v>
      </c>
      <c r="AR97" s="0" t="s">
        <v>145</v>
      </c>
      <c r="AU97" s="0" t="n">
        <v>190</v>
      </c>
    </row>
    <row r="98" customFormat="false" ht="15" hidden="false" customHeight="false" outlineLevel="0" collapsed="false">
      <c r="A98" s="0" t="s">
        <v>479</v>
      </c>
      <c r="B98" s="0" t="s">
        <v>477</v>
      </c>
      <c r="C98" s="0" t="s">
        <v>478</v>
      </c>
      <c r="D98" s="0" t="n">
        <v>17.16516</v>
      </c>
      <c r="E98" s="0" t="n">
        <v>17.9255</v>
      </c>
      <c r="F98" s="0" t="n">
        <v>17.80719</v>
      </c>
      <c r="G98" s="0" t="n">
        <v>16.79259</v>
      </c>
      <c r="H98" s="0" t="n">
        <v>17.27258</v>
      </c>
      <c r="I98" s="0" t="n">
        <v>17.52183</v>
      </c>
      <c r="J98" s="0" t="n">
        <v>17.32825</v>
      </c>
      <c r="K98" s="0" t="n">
        <v>17.14629</v>
      </c>
      <c r="L98" s="0" t="n">
        <v>18.02329</v>
      </c>
      <c r="M98" s="0" t="n">
        <v>17.75022</v>
      </c>
      <c r="N98" s="0" t="n">
        <v>17.73167</v>
      </c>
      <c r="O98" s="0" t="n">
        <v>17.22844</v>
      </c>
      <c r="P98" s="0" t="n">
        <v>17.34334</v>
      </c>
      <c r="Q98" s="0" t="n">
        <v>19.8525</v>
      </c>
      <c r="R98" s="0" t="n">
        <v>17.75218</v>
      </c>
      <c r="S98" s="0" t="n">
        <v>17.04292</v>
      </c>
      <c r="T98" s="0" t="n">
        <v>17.69316</v>
      </c>
      <c r="U98" s="0" t="n">
        <v>17.49436</v>
      </c>
      <c r="V98" s="0" t="n">
        <v>17.01171</v>
      </c>
      <c r="W98" s="0" t="n">
        <v>17.60617</v>
      </c>
      <c r="X98" s="0" t="n">
        <v>17.89971</v>
      </c>
      <c r="Y98" s="0" t="n">
        <v>17.40183</v>
      </c>
      <c r="Z98" s="0" t="n">
        <v>18.25792</v>
      </c>
      <c r="AA98" s="0" t="n">
        <v>17.26984</v>
      </c>
      <c r="AB98" s="0" t="n">
        <v>16.845</v>
      </c>
      <c r="AC98" s="0" t="n">
        <v>17.83855</v>
      </c>
      <c r="AD98" s="0" t="n">
        <v>16.42721</v>
      </c>
      <c r="AE98" s="0" t="n">
        <v>9</v>
      </c>
      <c r="AF98" s="0" t="n">
        <v>9</v>
      </c>
      <c r="AG98" s="0" t="n">
        <v>9</v>
      </c>
      <c r="AH98" s="0" t="n">
        <v>27.8</v>
      </c>
      <c r="AI98" s="0" t="n">
        <v>27.8</v>
      </c>
      <c r="AJ98" s="0" t="n">
        <v>27.8</v>
      </c>
      <c r="AK98" s="0" t="n">
        <v>46.312</v>
      </c>
      <c r="AL98" s="0" t="n">
        <v>0</v>
      </c>
      <c r="AM98" s="0" t="n">
        <v>59.624</v>
      </c>
      <c r="AN98" s="0" t="n">
        <v>7551100</v>
      </c>
      <c r="AO98" s="0" t="n">
        <v>51</v>
      </c>
      <c r="AP98" s="0" t="s">
        <v>476</v>
      </c>
      <c r="AQ98" s="0" t="s">
        <v>477</v>
      </c>
      <c r="AR98" s="0" t="s">
        <v>226</v>
      </c>
      <c r="AU98" s="0" t="n">
        <v>191</v>
      </c>
    </row>
    <row r="99" customFormat="false" ht="15" hidden="false" customHeight="false" outlineLevel="0" collapsed="false">
      <c r="A99" s="0" t="s">
        <v>483</v>
      </c>
      <c r="B99" s="0" t="s">
        <v>481</v>
      </c>
      <c r="C99" s="0" t="s">
        <v>482</v>
      </c>
      <c r="D99" s="0" t="n">
        <v>19.30021</v>
      </c>
      <c r="E99" s="0" t="n">
        <v>20.39613</v>
      </c>
      <c r="F99" s="0" t="n">
        <v>21.44567</v>
      </c>
      <c r="G99" s="0" t="n">
        <v>19.55843</v>
      </c>
      <c r="H99" s="0" t="n">
        <v>20.11121</v>
      </c>
      <c r="I99" s="0" t="n">
        <v>20.26819</v>
      </c>
      <c r="J99" s="0" t="n">
        <v>19.60523</v>
      </c>
      <c r="K99" s="0" t="n">
        <v>19.7123</v>
      </c>
      <c r="L99" s="0" t="n">
        <v>19.70514</v>
      </c>
      <c r="M99" s="0" t="n">
        <v>20.4051</v>
      </c>
      <c r="N99" s="0" t="n">
        <v>16.57971</v>
      </c>
      <c r="O99" s="0" t="n">
        <v>20.17524</v>
      </c>
      <c r="P99" s="0" t="n">
        <v>19.83209</v>
      </c>
      <c r="Q99" s="0" t="n">
        <v>19.9549</v>
      </c>
      <c r="R99" s="0" t="n">
        <v>20.53535</v>
      </c>
      <c r="S99" s="0" t="n">
        <v>19.73359</v>
      </c>
      <c r="T99" s="0" t="n">
        <v>20.63272</v>
      </c>
      <c r="U99" s="0" t="n">
        <v>20.34299</v>
      </c>
      <c r="V99" s="0" t="n">
        <v>20.13044</v>
      </c>
      <c r="W99" s="0" t="n">
        <v>19.51916</v>
      </c>
      <c r="X99" s="0" t="n">
        <v>19.38389</v>
      </c>
      <c r="Y99" s="0" t="n">
        <v>20.85415</v>
      </c>
      <c r="Z99" s="0" t="n">
        <v>20.86575</v>
      </c>
      <c r="AA99" s="0" t="n">
        <v>20.46881</v>
      </c>
      <c r="AB99" s="0" t="n">
        <v>19.70337</v>
      </c>
      <c r="AC99" s="0" t="n">
        <v>20.27946</v>
      </c>
      <c r="AD99" s="0" t="n">
        <v>20.38427</v>
      </c>
      <c r="AE99" s="0" t="n">
        <v>17</v>
      </c>
      <c r="AF99" s="0" t="n">
        <v>17</v>
      </c>
      <c r="AG99" s="0" t="n">
        <v>17</v>
      </c>
      <c r="AH99" s="0" t="n">
        <v>36.2</v>
      </c>
      <c r="AI99" s="0" t="n">
        <v>36.2</v>
      </c>
      <c r="AJ99" s="0" t="n">
        <v>36.2</v>
      </c>
      <c r="AK99" s="0" t="n">
        <v>69.068</v>
      </c>
      <c r="AL99" s="0" t="n">
        <v>0</v>
      </c>
      <c r="AM99" s="0" t="n">
        <v>162.12</v>
      </c>
      <c r="AN99" s="0" t="n">
        <v>45273000</v>
      </c>
      <c r="AO99" s="0" t="n">
        <v>93</v>
      </c>
      <c r="AP99" s="0" t="s">
        <v>480</v>
      </c>
      <c r="AQ99" s="0" t="s">
        <v>481</v>
      </c>
      <c r="AR99" s="0" t="s">
        <v>484</v>
      </c>
      <c r="AU99" s="0" t="n">
        <v>193</v>
      </c>
    </row>
    <row r="100" customFormat="false" ht="15" hidden="false" customHeight="false" outlineLevel="0" collapsed="false">
      <c r="A100" s="0" t="s">
        <v>488</v>
      </c>
      <c r="B100" s="0" t="s">
        <v>486</v>
      </c>
      <c r="C100" s="0" t="s">
        <v>487</v>
      </c>
      <c r="D100" s="0" t="n">
        <v>14.03627</v>
      </c>
      <c r="E100" s="0" t="n">
        <v>16.23437</v>
      </c>
      <c r="F100" s="0" t="n">
        <v>15.82404</v>
      </c>
      <c r="G100" s="0" t="n">
        <v>16.35583</v>
      </c>
      <c r="H100" s="0" t="n">
        <v>15.86986</v>
      </c>
      <c r="I100" s="0" t="n">
        <v>16.44121</v>
      </c>
      <c r="J100" s="0" t="n">
        <v>17.02767</v>
      </c>
      <c r="K100" s="0" t="n">
        <v>16.0392</v>
      </c>
      <c r="L100" s="0" t="n">
        <v>16.06236</v>
      </c>
      <c r="M100" s="0" t="n">
        <v>17.07577</v>
      </c>
      <c r="N100" s="0" t="n">
        <v>16.35087</v>
      </c>
      <c r="O100" s="0" t="n">
        <v>15.3765</v>
      </c>
      <c r="P100" s="0" t="n">
        <v>16.54881</v>
      </c>
      <c r="Q100" s="0" t="n">
        <v>18.96972</v>
      </c>
      <c r="R100" s="0" t="n">
        <v>16.73899</v>
      </c>
      <c r="S100" s="0" t="n">
        <v>16.19608</v>
      </c>
      <c r="T100" s="0" t="n">
        <v>16.13847</v>
      </c>
      <c r="U100" s="0" t="n">
        <v>15.22479</v>
      </c>
      <c r="V100" s="0" t="n">
        <v>16.2546</v>
      </c>
      <c r="W100" s="0" t="n">
        <v>16.12475</v>
      </c>
      <c r="X100" s="0" t="n">
        <v>16.06767</v>
      </c>
      <c r="Y100" s="0" t="n">
        <v>15.63317</v>
      </c>
      <c r="Z100" s="0" t="n">
        <v>16.03006</v>
      </c>
      <c r="AA100" s="0" t="n">
        <v>16.36465</v>
      </c>
      <c r="AB100" s="0" t="n">
        <v>15.92766</v>
      </c>
      <c r="AC100" s="0" t="n">
        <v>16.99137</v>
      </c>
      <c r="AD100" s="0" t="n">
        <v>16.45659</v>
      </c>
      <c r="AE100" s="0" t="n">
        <v>7</v>
      </c>
      <c r="AF100" s="0" t="n">
        <v>7</v>
      </c>
      <c r="AG100" s="0" t="n">
        <v>7</v>
      </c>
      <c r="AH100" s="0" t="n">
        <v>25.4</v>
      </c>
      <c r="AI100" s="0" t="n">
        <v>25.4</v>
      </c>
      <c r="AJ100" s="0" t="n">
        <v>25.4</v>
      </c>
      <c r="AK100" s="0" t="n">
        <v>38.429</v>
      </c>
      <c r="AL100" s="0" t="n">
        <v>0</v>
      </c>
      <c r="AM100" s="0" t="n">
        <v>6.2724</v>
      </c>
      <c r="AN100" s="0" t="n">
        <v>3336000</v>
      </c>
      <c r="AO100" s="0" t="n">
        <v>19</v>
      </c>
      <c r="AP100" s="0" t="s">
        <v>485</v>
      </c>
      <c r="AQ100" s="0" t="s">
        <v>486</v>
      </c>
      <c r="AR100" s="0" t="s">
        <v>150</v>
      </c>
      <c r="AU100" s="0" t="n">
        <v>195</v>
      </c>
    </row>
    <row r="101" customFormat="false" ht="15" hidden="false" customHeight="false" outlineLevel="0" collapsed="false">
      <c r="A101" s="0" t="s">
        <v>491</v>
      </c>
      <c r="B101" s="0" t="s">
        <v>489</v>
      </c>
      <c r="C101" s="0" t="s">
        <v>490</v>
      </c>
      <c r="D101" s="0" t="n">
        <v>15.27365</v>
      </c>
      <c r="E101" s="0" t="n">
        <v>14.9427</v>
      </c>
      <c r="F101" s="0" t="n">
        <v>16.32171</v>
      </c>
      <c r="G101" s="0" t="n">
        <v>14.21961</v>
      </c>
      <c r="H101" s="0" t="n">
        <v>14.85219</v>
      </c>
      <c r="I101" s="0" t="n">
        <v>15.31388</v>
      </c>
      <c r="J101" s="0" t="n">
        <v>15.24574</v>
      </c>
      <c r="K101" s="0" t="n">
        <v>15.05689</v>
      </c>
      <c r="L101" s="0" t="n">
        <v>15.55618</v>
      </c>
      <c r="M101" s="0" t="n">
        <v>15.01385</v>
      </c>
      <c r="N101" s="0" t="n">
        <v>16.79737</v>
      </c>
      <c r="O101" s="0" t="n">
        <v>14.66955</v>
      </c>
      <c r="P101" s="0" t="n">
        <v>15.05549</v>
      </c>
      <c r="Q101" s="0" t="n">
        <v>16.1135</v>
      </c>
      <c r="R101" s="0" t="n">
        <v>14.70444</v>
      </c>
      <c r="S101" s="0" t="n">
        <v>15.11553</v>
      </c>
      <c r="T101" s="0" t="n">
        <v>15.43352</v>
      </c>
      <c r="U101" s="0" t="n">
        <v>15.09086</v>
      </c>
      <c r="V101" s="0" t="n">
        <v>14.43723</v>
      </c>
      <c r="W101" s="0" t="n">
        <v>14.91579</v>
      </c>
      <c r="X101" s="0" t="n">
        <v>14.93852</v>
      </c>
      <c r="Y101" s="0" t="n">
        <v>14.69876</v>
      </c>
      <c r="Z101" s="0" t="n">
        <v>15.15604</v>
      </c>
      <c r="AA101" s="0" t="n">
        <v>14.78156</v>
      </c>
      <c r="AB101" s="0" t="n">
        <v>14.69659</v>
      </c>
      <c r="AC101" s="0" t="n">
        <v>15.14526</v>
      </c>
      <c r="AD101" s="0" t="n">
        <v>15.15506</v>
      </c>
      <c r="AE101" s="0" t="n">
        <v>3</v>
      </c>
      <c r="AF101" s="0" t="n">
        <v>3</v>
      </c>
      <c r="AG101" s="0" t="n">
        <v>3</v>
      </c>
      <c r="AH101" s="0" t="n">
        <v>10.3</v>
      </c>
      <c r="AI101" s="0" t="n">
        <v>10.3</v>
      </c>
      <c r="AJ101" s="0" t="n">
        <v>10.3</v>
      </c>
      <c r="AK101" s="0" t="n">
        <v>44.135</v>
      </c>
      <c r="AL101" s="0" t="n">
        <v>0</v>
      </c>
      <c r="AM101" s="0" t="n">
        <v>2.5777</v>
      </c>
      <c r="AN101" s="0" t="n">
        <v>1151100</v>
      </c>
      <c r="AO101" s="0" t="n">
        <v>14</v>
      </c>
      <c r="AP101" s="0" t="s">
        <v>489</v>
      </c>
      <c r="AQ101" s="0" t="s">
        <v>489</v>
      </c>
      <c r="AR101" s="0" t="s">
        <v>65</v>
      </c>
      <c r="AU101" s="0" t="n">
        <v>196</v>
      </c>
    </row>
    <row r="102" customFormat="false" ht="15" hidden="false" customHeight="false" outlineLevel="0" collapsed="false">
      <c r="A102" s="0" t="s">
        <v>495</v>
      </c>
      <c r="B102" s="0" t="s">
        <v>493</v>
      </c>
      <c r="C102" s="0" t="s">
        <v>494</v>
      </c>
      <c r="D102" s="0" t="n">
        <v>21.49135</v>
      </c>
      <c r="E102" s="0" t="n">
        <v>20.11502</v>
      </c>
      <c r="F102" s="0" t="n">
        <v>20.30486</v>
      </c>
      <c r="G102" s="0" t="n">
        <v>19.23084</v>
      </c>
      <c r="H102" s="0" t="n">
        <v>18.93206</v>
      </c>
      <c r="I102" s="0" t="n">
        <v>20.56941</v>
      </c>
      <c r="J102" s="0" t="n">
        <v>19.87584</v>
      </c>
      <c r="K102" s="0" t="n">
        <v>19.43194</v>
      </c>
      <c r="L102" s="0" t="n">
        <v>18.70401</v>
      </c>
      <c r="M102" s="0" t="n">
        <v>19.50182</v>
      </c>
      <c r="N102" s="0" t="n">
        <v>17.99551</v>
      </c>
      <c r="O102" s="0" t="n">
        <v>20.30541</v>
      </c>
      <c r="P102" s="0" t="n">
        <v>20.30341</v>
      </c>
      <c r="Q102" s="0" t="n">
        <v>21.5623</v>
      </c>
      <c r="R102" s="0" t="n">
        <v>20.28501</v>
      </c>
      <c r="S102" s="0" t="n">
        <v>21.19412</v>
      </c>
      <c r="T102" s="0" t="n">
        <v>20.55628</v>
      </c>
      <c r="U102" s="0" t="n">
        <v>19.97771</v>
      </c>
      <c r="V102" s="0" t="n">
        <v>18.31889</v>
      </c>
      <c r="W102" s="0" t="n">
        <v>21.36052</v>
      </c>
      <c r="X102" s="0" t="n">
        <v>22.45889</v>
      </c>
      <c r="Y102" s="0" t="n">
        <v>22.09555</v>
      </c>
      <c r="Z102" s="0" t="n">
        <v>20.08809</v>
      </c>
      <c r="AA102" s="0" t="n">
        <v>18.14086</v>
      </c>
      <c r="AB102" s="0" t="n">
        <v>21.33636</v>
      </c>
      <c r="AC102" s="0" t="n">
        <v>19.97337</v>
      </c>
      <c r="AD102" s="0" t="n">
        <v>18.02313</v>
      </c>
      <c r="AE102" s="0" t="n">
        <v>11</v>
      </c>
      <c r="AF102" s="0" t="n">
        <v>11</v>
      </c>
      <c r="AG102" s="0" t="n">
        <v>6</v>
      </c>
      <c r="AH102" s="0" t="n">
        <v>77.6</v>
      </c>
      <c r="AI102" s="0" t="n">
        <v>77.6</v>
      </c>
      <c r="AJ102" s="0" t="n">
        <v>51</v>
      </c>
      <c r="AK102" s="0" t="n">
        <v>15.998</v>
      </c>
      <c r="AL102" s="0" t="n">
        <v>0</v>
      </c>
      <c r="AM102" s="0" t="n">
        <v>43.4</v>
      </c>
      <c r="AN102" s="0" t="n">
        <v>67902000</v>
      </c>
      <c r="AO102" s="0" t="n">
        <v>119</v>
      </c>
      <c r="AP102" s="0" t="s">
        <v>492</v>
      </c>
      <c r="AQ102" s="0" t="s">
        <v>493</v>
      </c>
      <c r="AR102" s="0" t="s">
        <v>284</v>
      </c>
      <c r="AS102" s="0" t="n">
        <v>111</v>
      </c>
      <c r="AT102" s="0" t="n">
        <v>56</v>
      </c>
      <c r="AU102" s="0" t="n">
        <v>197</v>
      </c>
    </row>
    <row r="103" customFormat="false" ht="15" hidden="false" customHeight="false" outlineLevel="0" collapsed="false">
      <c r="A103" s="0" t="s">
        <v>498</v>
      </c>
      <c r="B103" s="0" t="s">
        <v>496</v>
      </c>
      <c r="C103" s="0" t="s">
        <v>497</v>
      </c>
      <c r="D103" s="0" t="n">
        <v>20.26671</v>
      </c>
      <c r="E103" s="0" t="n">
        <v>20.13132</v>
      </c>
      <c r="F103" s="0" t="n">
        <v>17.95094</v>
      </c>
      <c r="G103" s="0" t="n">
        <v>19.75483</v>
      </c>
      <c r="H103" s="0" t="n">
        <v>19.21466</v>
      </c>
      <c r="I103" s="0" t="n">
        <v>19.45565</v>
      </c>
      <c r="J103" s="0" t="n">
        <v>18.87352</v>
      </c>
      <c r="K103" s="0" t="n">
        <v>19.74292</v>
      </c>
      <c r="L103" s="0" t="n">
        <v>17.75708</v>
      </c>
      <c r="M103" s="0" t="n">
        <v>19.65941</v>
      </c>
      <c r="N103" s="0" t="n">
        <v>15.90448</v>
      </c>
      <c r="O103" s="0" t="n">
        <v>17.0927</v>
      </c>
      <c r="P103" s="0" t="n">
        <v>20.79503</v>
      </c>
      <c r="Q103" s="0" t="n">
        <v>19.18486</v>
      </c>
      <c r="R103" s="0" t="n">
        <v>18.45378</v>
      </c>
      <c r="S103" s="0" t="n">
        <v>21.40676</v>
      </c>
      <c r="T103" s="0" t="n">
        <v>20.62319</v>
      </c>
      <c r="U103" s="0" t="n">
        <v>19.52631</v>
      </c>
      <c r="V103" s="0" t="n">
        <v>19.06663</v>
      </c>
      <c r="W103" s="0" t="n">
        <v>21.17986</v>
      </c>
      <c r="X103" s="0" t="n">
        <v>21.31827</v>
      </c>
      <c r="Y103" s="0" t="n">
        <v>19.91931</v>
      </c>
      <c r="Z103" s="0" t="n">
        <v>20.35585</v>
      </c>
      <c r="AA103" s="0" t="n">
        <v>18.53283</v>
      </c>
      <c r="AB103" s="0" t="n">
        <v>21.40161</v>
      </c>
      <c r="AC103" s="0" t="n">
        <v>19.16862</v>
      </c>
      <c r="AD103" s="0" t="n">
        <v>19.02066</v>
      </c>
      <c r="AE103" s="0" t="n">
        <v>7</v>
      </c>
      <c r="AF103" s="0" t="n">
        <v>7</v>
      </c>
      <c r="AG103" s="0" t="n">
        <v>5</v>
      </c>
      <c r="AH103" s="0" t="n">
        <v>65.5</v>
      </c>
      <c r="AI103" s="0" t="n">
        <v>65.5</v>
      </c>
      <c r="AJ103" s="0" t="n">
        <v>47.9</v>
      </c>
      <c r="AK103" s="0" t="n">
        <v>15.257</v>
      </c>
      <c r="AL103" s="0" t="n">
        <v>0</v>
      </c>
      <c r="AM103" s="0" t="n">
        <v>64.67</v>
      </c>
      <c r="AN103" s="0" t="n">
        <v>44828000</v>
      </c>
      <c r="AO103" s="0" t="n">
        <v>133</v>
      </c>
      <c r="AP103" s="0" t="s">
        <v>496</v>
      </c>
      <c r="AQ103" s="0" t="s">
        <v>496</v>
      </c>
      <c r="AR103" s="0" t="s">
        <v>150</v>
      </c>
      <c r="AS103" s="0" t="n">
        <v>30</v>
      </c>
      <c r="AT103" s="0" t="n">
        <v>33</v>
      </c>
      <c r="AU103" s="0" t="n">
        <v>198</v>
      </c>
    </row>
    <row r="104" customFormat="false" ht="15" hidden="false" customHeight="false" outlineLevel="0" collapsed="false">
      <c r="A104" s="0" t="s">
        <v>502</v>
      </c>
      <c r="B104" s="0" t="s">
        <v>500</v>
      </c>
      <c r="C104" s="0" t="s">
        <v>501</v>
      </c>
      <c r="D104" s="0" t="n">
        <v>14.75468</v>
      </c>
      <c r="E104" s="0" t="n">
        <v>14.72595</v>
      </c>
      <c r="F104" s="0" t="n">
        <v>16.23142</v>
      </c>
      <c r="G104" s="0" t="n">
        <v>14.84127</v>
      </c>
      <c r="H104" s="0" t="n">
        <v>14.88221</v>
      </c>
      <c r="I104" s="0" t="n">
        <v>13.98811</v>
      </c>
      <c r="J104" s="0" t="n">
        <v>15.52522</v>
      </c>
      <c r="K104" s="0" t="n">
        <v>13.97939</v>
      </c>
      <c r="L104" s="0" t="n">
        <v>15.3066</v>
      </c>
      <c r="M104" s="0" t="n">
        <v>14.38296</v>
      </c>
      <c r="N104" s="0" t="n">
        <v>17.40277</v>
      </c>
      <c r="O104" s="0" t="n">
        <v>15.23949</v>
      </c>
      <c r="P104" s="0" t="n">
        <v>14.69789</v>
      </c>
      <c r="Q104" s="0" t="n">
        <v>13.97215</v>
      </c>
      <c r="R104" s="0" t="n">
        <v>14.15553</v>
      </c>
      <c r="S104" s="0" t="n">
        <v>14.43365</v>
      </c>
      <c r="T104" s="0" t="n">
        <v>14.69572</v>
      </c>
      <c r="U104" s="0" t="n">
        <v>14.20661</v>
      </c>
      <c r="V104" s="0" t="n">
        <v>14.68564</v>
      </c>
      <c r="W104" s="0" t="n">
        <v>14.55836</v>
      </c>
      <c r="X104" s="0" t="n">
        <v>13.28099</v>
      </c>
      <c r="Y104" s="0" t="n">
        <v>14.68967</v>
      </c>
      <c r="Z104" s="0" t="n">
        <v>15.24548</v>
      </c>
      <c r="AA104" s="0" t="n">
        <v>15.51095</v>
      </c>
      <c r="AB104" s="0" t="n">
        <v>15.10161</v>
      </c>
      <c r="AC104" s="0" t="n">
        <v>14.69659</v>
      </c>
      <c r="AD104" s="0" t="n">
        <v>15.27605</v>
      </c>
      <c r="AE104" s="0" t="n">
        <v>6</v>
      </c>
      <c r="AF104" s="0" t="n">
        <v>6</v>
      </c>
      <c r="AG104" s="0" t="n">
        <v>6</v>
      </c>
      <c r="AH104" s="0" t="n">
        <v>12.5</v>
      </c>
      <c r="AI104" s="0" t="n">
        <v>12.5</v>
      </c>
      <c r="AJ104" s="0" t="n">
        <v>12.5</v>
      </c>
      <c r="AK104" s="0" t="n">
        <v>92.335</v>
      </c>
      <c r="AL104" s="0" t="n">
        <v>0</v>
      </c>
      <c r="AM104" s="0" t="n">
        <v>5.999</v>
      </c>
      <c r="AN104" s="0" t="n">
        <v>963000</v>
      </c>
      <c r="AO104" s="0" t="n">
        <v>11</v>
      </c>
      <c r="AP104" s="0" t="s">
        <v>499</v>
      </c>
      <c r="AQ104" s="0" t="s">
        <v>500</v>
      </c>
      <c r="AR104" s="0" t="s">
        <v>155</v>
      </c>
      <c r="AU104" s="0" t="n">
        <v>199</v>
      </c>
    </row>
    <row r="105" customFormat="false" ht="15" hidden="false" customHeight="false" outlineLevel="0" collapsed="false">
      <c r="A105" s="0" t="s">
        <v>505</v>
      </c>
      <c r="B105" s="0" t="s">
        <v>503</v>
      </c>
      <c r="C105" s="0" t="s">
        <v>504</v>
      </c>
      <c r="D105" s="0" t="n">
        <v>18.58886</v>
      </c>
      <c r="E105" s="0" t="n">
        <v>17.79576</v>
      </c>
      <c r="F105" s="0" t="n">
        <v>16.48133</v>
      </c>
      <c r="G105" s="0" t="n">
        <v>17.79132</v>
      </c>
      <c r="H105" s="0" t="n">
        <v>17.45467</v>
      </c>
      <c r="I105" s="0" t="n">
        <v>19.15842</v>
      </c>
      <c r="J105" s="0" t="n">
        <v>15.31405</v>
      </c>
      <c r="K105" s="0" t="n">
        <v>17.4602</v>
      </c>
      <c r="L105" s="0" t="n">
        <v>18.0541</v>
      </c>
      <c r="M105" s="0" t="n">
        <v>18.80502</v>
      </c>
      <c r="N105" s="0" t="n">
        <v>16.69588</v>
      </c>
      <c r="O105" s="0" t="n">
        <v>16.9659</v>
      </c>
      <c r="P105" s="0" t="n">
        <v>17.73681</v>
      </c>
      <c r="Q105" s="0" t="n">
        <v>16.23874</v>
      </c>
      <c r="R105" s="0" t="n">
        <v>13.96768</v>
      </c>
      <c r="S105" s="0" t="n">
        <v>18.13129</v>
      </c>
      <c r="T105" s="0" t="n">
        <v>17.956</v>
      </c>
      <c r="U105" s="0" t="n">
        <v>18.37649</v>
      </c>
      <c r="V105" s="0" t="n">
        <v>15.43994</v>
      </c>
      <c r="W105" s="0" t="n">
        <v>18.15793</v>
      </c>
      <c r="X105" s="0" t="n">
        <v>18.41642</v>
      </c>
      <c r="Y105" s="0" t="n">
        <v>18.5087</v>
      </c>
      <c r="Z105" s="0" t="n">
        <v>13.81614</v>
      </c>
      <c r="AA105" s="0" t="n">
        <v>14.10724</v>
      </c>
      <c r="AB105" s="0" t="n">
        <v>14.03015</v>
      </c>
      <c r="AC105" s="0" t="n">
        <v>18.50502</v>
      </c>
      <c r="AD105" s="0" t="n">
        <v>17.18524</v>
      </c>
      <c r="AE105" s="0" t="n">
        <v>2</v>
      </c>
      <c r="AF105" s="0" t="n">
        <v>2</v>
      </c>
      <c r="AG105" s="0" t="n">
        <v>2</v>
      </c>
      <c r="AH105" s="0" t="n">
        <v>32.5</v>
      </c>
      <c r="AI105" s="0" t="n">
        <v>32.5</v>
      </c>
      <c r="AJ105" s="0" t="n">
        <v>32.5</v>
      </c>
      <c r="AK105" s="0" t="n">
        <v>12.446</v>
      </c>
      <c r="AL105" s="0" t="n">
        <v>0</v>
      </c>
      <c r="AM105" s="0" t="n">
        <v>30.059</v>
      </c>
      <c r="AN105" s="0" t="n">
        <v>8030100</v>
      </c>
      <c r="AO105" s="0" t="n">
        <v>17</v>
      </c>
      <c r="AP105" s="0" t="s">
        <v>503</v>
      </c>
      <c r="AQ105" s="0" t="s">
        <v>503</v>
      </c>
      <c r="AR105" s="0" t="s">
        <v>83</v>
      </c>
      <c r="AU105" s="0" t="n">
        <v>200</v>
      </c>
    </row>
    <row r="106" customFormat="false" ht="15" hidden="false" customHeight="false" outlineLevel="0" collapsed="false">
      <c r="A106" s="0" t="s">
        <v>509</v>
      </c>
      <c r="B106" s="0" t="s">
        <v>507</v>
      </c>
      <c r="C106" s="0" t="s">
        <v>508</v>
      </c>
      <c r="D106" s="0" t="n">
        <v>14.64954</v>
      </c>
      <c r="E106" s="0" t="n">
        <v>16.02671</v>
      </c>
      <c r="F106" s="0" t="n">
        <v>14.68657</v>
      </c>
      <c r="G106" s="0" t="n">
        <v>15.58908</v>
      </c>
      <c r="H106" s="0" t="n">
        <v>14.45475</v>
      </c>
      <c r="I106" s="0" t="n">
        <v>14.6135</v>
      </c>
      <c r="J106" s="0" t="n">
        <v>14.05858</v>
      </c>
      <c r="K106" s="0" t="n">
        <v>14.81573</v>
      </c>
      <c r="L106" s="0" t="n">
        <v>13.54959</v>
      </c>
      <c r="M106" s="0" t="n">
        <v>14.68332</v>
      </c>
      <c r="N106" s="0" t="n">
        <v>16.03515</v>
      </c>
      <c r="O106" s="0" t="n">
        <v>13.98735</v>
      </c>
      <c r="P106" s="0" t="n">
        <v>15.00584</v>
      </c>
      <c r="Q106" s="0" t="n">
        <v>17.6197</v>
      </c>
      <c r="R106" s="0" t="n">
        <v>16.09651</v>
      </c>
      <c r="S106" s="0" t="n">
        <v>14.34117</v>
      </c>
      <c r="T106" s="0" t="n">
        <v>14.94645</v>
      </c>
      <c r="U106" s="0" t="n">
        <v>14.47814</v>
      </c>
      <c r="V106" s="0" t="n">
        <v>14.57772</v>
      </c>
      <c r="W106" s="0" t="n">
        <v>14.66334</v>
      </c>
      <c r="X106" s="0" t="n">
        <v>14.71317</v>
      </c>
      <c r="Y106" s="0" t="n">
        <v>14.74426</v>
      </c>
      <c r="Z106" s="0" t="n">
        <v>14.20603</v>
      </c>
      <c r="AA106" s="0" t="n">
        <v>14.17859</v>
      </c>
      <c r="AB106" s="0" t="n">
        <v>14.69566</v>
      </c>
      <c r="AC106" s="0" t="n">
        <v>15.07803</v>
      </c>
      <c r="AD106" s="0" t="n">
        <v>15.22079</v>
      </c>
      <c r="AE106" s="0" t="n">
        <v>5</v>
      </c>
      <c r="AF106" s="0" t="n">
        <v>5</v>
      </c>
      <c r="AG106" s="0" t="n">
        <v>5</v>
      </c>
      <c r="AH106" s="0" t="n">
        <v>13.5</v>
      </c>
      <c r="AI106" s="0" t="n">
        <v>13.5</v>
      </c>
      <c r="AJ106" s="0" t="n">
        <v>13.5</v>
      </c>
      <c r="AK106" s="0" t="n">
        <v>65.33</v>
      </c>
      <c r="AL106" s="0" t="n">
        <v>0</v>
      </c>
      <c r="AM106" s="0" t="n">
        <v>3.4044</v>
      </c>
      <c r="AN106" s="0" t="n">
        <v>1209500</v>
      </c>
      <c r="AO106" s="0" t="n">
        <v>9</v>
      </c>
      <c r="AP106" s="0" t="s">
        <v>506</v>
      </c>
      <c r="AQ106" s="0" t="s">
        <v>507</v>
      </c>
      <c r="AR106" s="0" t="s">
        <v>87</v>
      </c>
      <c r="AU106" s="0" t="n">
        <v>201</v>
      </c>
    </row>
    <row r="107" customFormat="false" ht="15" hidden="false" customHeight="false" outlineLevel="0" collapsed="false">
      <c r="A107" s="0" t="s">
        <v>512</v>
      </c>
      <c r="B107" s="0" t="s">
        <v>510</v>
      </c>
      <c r="C107" s="0" t="s">
        <v>511</v>
      </c>
      <c r="D107" s="0" t="n">
        <v>14.137</v>
      </c>
      <c r="E107" s="0" t="n">
        <v>15.61367</v>
      </c>
      <c r="F107" s="0" t="n">
        <v>15.98201</v>
      </c>
      <c r="G107" s="0" t="n">
        <v>15.25425</v>
      </c>
      <c r="H107" s="0" t="n">
        <v>15.04883</v>
      </c>
      <c r="I107" s="0" t="n">
        <v>15.56114</v>
      </c>
      <c r="J107" s="0" t="n">
        <v>15.14808</v>
      </c>
      <c r="K107" s="0" t="n">
        <v>15.20637</v>
      </c>
      <c r="L107" s="0" t="n">
        <v>13.84486</v>
      </c>
      <c r="M107" s="0" t="n">
        <v>14.44178</v>
      </c>
      <c r="N107" s="0" t="n">
        <v>17.50481</v>
      </c>
      <c r="O107" s="0" t="n">
        <v>14.08622</v>
      </c>
      <c r="P107" s="0" t="n">
        <v>15.68162</v>
      </c>
      <c r="Q107" s="0" t="n">
        <v>15.86629</v>
      </c>
      <c r="R107" s="0" t="n">
        <v>14.2396</v>
      </c>
      <c r="S107" s="0" t="n">
        <v>14.55243</v>
      </c>
      <c r="T107" s="0" t="n">
        <v>15.61278</v>
      </c>
      <c r="U107" s="0" t="n">
        <v>15.34385</v>
      </c>
      <c r="V107" s="0" t="n">
        <v>15.19645</v>
      </c>
      <c r="W107" s="0" t="n">
        <v>15.38647</v>
      </c>
      <c r="X107" s="0" t="n">
        <v>14.65352</v>
      </c>
      <c r="Y107" s="0" t="n">
        <v>15.22</v>
      </c>
      <c r="Z107" s="0" t="n">
        <v>14.94869</v>
      </c>
      <c r="AA107" s="0" t="n">
        <v>15.71443</v>
      </c>
      <c r="AB107" s="0" t="n">
        <v>15.45533</v>
      </c>
      <c r="AC107" s="0" t="n">
        <v>14.95256</v>
      </c>
      <c r="AD107" s="0" t="n">
        <v>15.81496</v>
      </c>
      <c r="AE107" s="0" t="n">
        <v>4</v>
      </c>
      <c r="AF107" s="0" t="n">
        <v>4</v>
      </c>
      <c r="AG107" s="0" t="n">
        <v>4</v>
      </c>
      <c r="AH107" s="0" t="n">
        <v>17.6</v>
      </c>
      <c r="AI107" s="0" t="n">
        <v>17.6</v>
      </c>
      <c r="AJ107" s="0" t="n">
        <v>17.6</v>
      </c>
      <c r="AK107" s="0" t="n">
        <v>34.001</v>
      </c>
      <c r="AL107" s="0" t="n">
        <v>0</v>
      </c>
      <c r="AM107" s="0" t="n">
        <v>4.6286</v>
      </c>
      <c r="AN107" s="0" t="n">
        <v>1272600</v>
      </c>
      <c r="AO107" s="0" t="n">
        <v>15</v>
      </c>
      <c r="AP107" s="0" t="s">
        <v>510</v>
      </c>
      <c r="AQ107" s="0" t="s">
        <v>510</v>
      </c>
      <c r="AR107" s="0" t="s">
        <v>135</v>
      </c>
      <c r="AU107" s="0" t="n">
        <v>205</v>
      </c>
    </row>
    <row r="108" customFormat="false" ht="15" hidden="false" customHeight="false" outlineLevel="0" collapsed="false">
      <c r="A108" s="0" t="s">
        <v>515</v>
      </c>
      <c r="B108" s="0" t="s">
        <v>513</v>
      </c>
      <c r="C108" s="0" t="s">
        <v>514</v>
      </c>
      <c r="D108" s="0" t="n">
        <v>16.32722</v>
      </c>
      <c r="E108" s="0" t="n">
        <v>16.10183</v>
      </c>
      <c r="F108" s="0" t="n">
        <v>14.78937</v>
      </c>
      <c r="G108" s="0" t="n">
        <v>16.27159</v>
      </c>
      <c r="H108" s="0" t="n">
        <v>16.02721</v>
      </c>
      <c r="I108" s="0" t="n">
        <v>16.65088</v>
      </c>
      <c r="J108" s="0" t="n">
        <v>16.25211</v>
      </c>
      <c r="K108" s="0" t="n">
        <v>16.18045</v>
      </c>
      <c r="L108" s="0" t="n">
        <v>16.13835</v>
      </c>
      <c r="M108" s="0" t="n">
        <v>15.99199</v>
      </c>
      <c r="N108" s="0" t="n">
        <v>17.43068</v>
      </c>
      <c r="O108" s="0" t="n">
        <v>14.00168</v>
      </c>
      <c r="P108" s="0" t="n">
        <v>16.10836</v>
      </c>
      <c r="Q108" s="0" t="n">
        <v>14.61097</v>
      </c>
      <c r="R108" s="0" t="n">
        <v>15.41115</v>
      </c>
      <c r="S108" s="0" t="n">
        <v>15.70666</v>
      </c>
      <c r="T108" s="0" t="n">
        <v>15.75165</v>
      </c>
      <c r="U108" s="0" t="n">
        <v>15.85842</v>
      </c>
      <c r="V108" s="0" t="n">
        <v>15.64208</v>
      </c>
      <c r="W108" s="0" t="n">
        <v>16.15756</v>
      </c>
      <c r="X108" s="0" t="n">
        <v>15.70744</v>
      </c>
      <c r="Y108" s="0" t="n">
        <v>15.7028</v>
      </c>
      <c r="Z108" s="0" t="n">
        <v>16.02739</v>
      </c>
      <c r="AA108" s="0" t="n">
        <v>15.87135</v>
      </c>
      <c r="AB108" s="0" t="n">
        <v>16.3633</v>
      </c>
      <c r="AC108" s="0" t="n">
        <v>16.38494</v>
      </c>
      <c r="AD108" s="0" t="n">
        <v>16.51533</v>
      </c>
      <c r="AE108" s="0" t="n">
        <v>3</v>
      </c>
      <c r="AF108" s="0" t="n">
        <v>3</v>
      </c>
      <c r="AG108" s="0" t="n">
        <v>3</v>
      </c>
      <c r="AH108" s="0" t="n">
        <v>8.9</v>
      </c>
      <c r="AI108" s="0" t="n">
        <v>8.9</v>
      </c>
      <c r="AJ108" s="0" t="n">
        <v>8.9</v>
      </c>
      <c r="AK108" s="0" t="n">
        <v>60.673</v>
      </c>
      <c r="AL108" s="0" t="n">
        <v>0</v>
      </c>
      <c r="AM108" s="0" t="n">
        <v>14.102</v>
      </c>
      <c r="AN108" s="0" t="n">
        <v>2180100</v>
      </c>
      <c r="AO108" s="0" t="n">
        <v>12</v>
      </c>
      <c r="AP108" s="0" t="s">
        <v>513</v>
      </c>
      <c r="AQ108" s="0" t="s">
        <v>513</v>
      </c>
      <c r="AR108" s="0" t="s">
        <v>65</v>
      </c>
      <c r="AU108" s="0" t="n">
        <v>207</v>
      </c>
    </row>
    <row r="109" customFormat="false" ht="15" hidden="false" customHeight="false" outlineLevel="0" collapsed="false">
      <c r="A109" s="0" t="s">
        <v>519</v>
      </c>
      <c r="B109" s="0" t="s">
        <v>517</v>
      </c>
      <c r="C109" s="0" t="s">
        <v>518</v>
      </c>
      <c r="D109" s="0" t="n">
        <v>16.47041</v>
      </c>
      <c r="E109" s="0" t="n">
        <v>18.26109</v>
      </c>
      <c r="F109" s="0" t="n">
        <v>19.69787</v>
      </c>
      <c r="G109" s="0" t="n">
        <v>18.0626</v>
      </c>
      <c r="H109" s="0" t="n">
        <v>17.51507</v>
      </c>
      <c r="I109" s="0" t="n">
        <v>19.6221</v>
      </c>
      <c r="J109" s="0" t="n">
        <v>18.3708</v>
      </c>
      <c r="K109" s="0" t="n">
        <v>19.36359</v>
      </c>
      <c r="L109" s="0" t="n">
        <v>18.44924</v>
      </c>
      <c r="M109" s="0" t="n">
        <v>17.7194</v>
      </c>
      <c r="N109" s="0" t="n">
        <v>16.5747</v>
      </c>
      <c r="O109" s="0" t="n">
        <v>18.188</v>
      </c>
      <c r="P109" s="0" t="n">
        <v>16.25045</v>
      </c>
      <c r="Q109" s="0" t="n">
        <v>18.8025</v>
      </c>
      <c r="R109" s="0" t="n">
        <v>17.788</v>
      </c>
      <c r="S109" s="0" t="n">
        <v>19.53602</v>
      </c>
      <c r="T109" s="0" t="n">
        <v>20.63485</v>
      </c>
      <c r="U109" s="0" t="n">
        <v>19.815</v>
      </c>
      <c r="V109" s="0" t="n">
        <v>17.4193</v>
      </c>
      <c r="W109" s="0" t="n">
        <v>19.15135</v>
      </c>
      <c r="X109" s="0" t="n">
        <v>18.2453</v>
      </c>
      <c r="Y109" s="0" t="n">
        <v>19.16475</v>
      </c>
      <c r="Z109" s="0" t="n">
        <v>18.61317</v>
      </c>
      <c r="AA109" s="0" t="n">
        <v>18.39067</v>
      </c>
      <c r="AB109" s="0" t="n">
        <v>18.99015</v>
      </c>
      <c r="AC109" s="0" t="n">
        <v>19.3613</v>
      </c>
      <c r="AD109" s="0" t="n">
        <v>18.79084</v>
      </c>
      <c r="AE109" s="0" t="n">
        <v>10</v>
      </c>
      <c r="AF109" s="0" t="n">
        <v>10</v>
      </c>
      <c r="AG109" s="0" t="n">
        <v>10</v>
      </c>
      <c r="AH109" s="0" t="n">
        <v>29.7</v>
      </c>
      <c r="AI109" s="0" t="n">
        <v>29.7</v>
      </c>
      <c r="AJ109" s="0" t="n">
        <v>29.7</v>
      </c>
      <c r="AK109" s="0" t="n">
        <v>62.216</v>
      </c>
      <c r="AL109" s="0" t="n">
        <v>0</v>
      </c>
      <c r="AM109" s="0" t="n">
        <v>323.31</v>
      </c>
      <c r="AN109" s="0" t="n">
        <v>16036000</v>
      </c>
      <c r="AO109" s="0" t="n">
        <v>60</v>
      </c>
      <c r="AP109" s="0" t="s">
        <v>516</v>
      </c>
      <c r="AQ109" s="0" t="s">
        <v>517</v>
      </c>
      <c r="AR109" s="0" t="s">
        <v>145</v>
      </c>
      <c r="AU109" s="0" t="n">
        <v>212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108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A59" activeCellId="0" sqref="A59"/>
    </sheetView>
  </sheetViews>
  <sheetFormatPr defaultRowHeight="15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21.85"/>
    <col collapsed="false" customWidth="true" hidden="false" outlineLevel="0" max="3" min="3" style="0" width="53"/>
    <col collapsed="false" customWidth="true" hidden="false" outlineLevel="0" max="4" min="4" style="0" width="14.14"/>
    <col collapsed="false" customWidth="true" hidden="false" outlineLevel="0" max="5" min="5" style="0" width="13.85"/>
    <col collapsed="false" customWidth="true" hidden="false" outlineLevel="0" max="6" min="6" style="0" width="12.43"/>
    <col collapsed="false" customWidth="true" hidden="false" outlineLevel="0" max="7" min="7" style="0" width="12.28"/>
    <col collapsed="false" customWidth="true" hidden="false" outlineLevel="0" max="8" min="8" style="0" width="13.71"/>
    <col collapsed="false" customWidth="true" hidden="false" outlineLevel="0" max="9" min="9" style="0" width="14.28"/>
    <col collapsed="false" customWidth="true" hidden="false" outlineLevel="0" max="10" min="10" style="0" width="14.14"/>
    <col collapsed="false" customWidth="true" hidden="false" outlineLevel="0" max="11" min="11" style="0" width="14.28"/>
    <col collapsed="false" customWidth="true" hidden="false" outlineLevel="0" max="12" min="12" style="0" width="14"/>
    <col collapsed="false" customWidth="true" hidden="false" outlineLevel="0" max="13" min="13" style="0" width="13.14"/>
    <col collapsed="false" customWidth="true" hidden="false" outlineLevel="0" max="14" min="14" style="0" width="13.28"/>
    <col collapsed="false" customWidth="true" hidden="false" outlineLevel="0" max="15" min="15" style="0" width="13.57"/>
    <col collapsed="false" customWidth="true" hidden="false" outlineLevel="0" max="16" min="16" style="0" width="14"/>
    <col collapsed="false" customWidth="true" hidden="false" outlineLevel="0" max="17" min="17" style="0" width="13.57"/>
    <col collapsed="false" customWidth="true" hidden="false" outlineLevel="0" max="18" min="18" style="0" width="14.14"/>
    <col collapsed="false" customWidth="true" hidden="false" outlineLevel="0" max="19" min="19" style="0" width="14"/>
    <col collapsed="false" customWidth="true" hidden="false" outlineLevel="0" max="20" min="20" style="0" width="14.28"/>
    <col collapsed="false" customWidth="true" hidden="false" outlineLevel="0" max="21" min="21" style="0" width="12.57"/>
    <col collapsed="false" customWidth="true" hidden="false" outlineLevel="0" max="22" min="22" style="0" width="14.28"/>
    <col collapsed="false" customWidth="true" hidden="false" outlineLevel="0" max="23" min="23" style="0" width="12.71"/>
    <col collapsed="false" customWidth="true" hidden="false" outlineLevel="0" max="24" min="24" style="0" width="13.57"/>
    <col collapsed="false" customWidth="true" hidden="false" outlineLevel="0" max="25" min="25" style="0" width="14.28"/>
    <col collapsed="false" customWidth="true" hidden="false" outlineLevel="0" max="26" min="26" style="0" width="13.57"/>
    <col collapsed="false" customWidth="true" hidden="false" outlineLevel="0" max="29" min="27" style="0" width="14.28"/>
    <col collapsed="false" customWidth="true" hidden="false" outlineLevel="0" max="30" min="30" style="0" width="12.43"/>
    <col collapsed="false" customWidth="true" hidden="false" outlineLevel="0" max="31" min="31" style="0" width="8"/>
    <col collapsed="false" customWidth="true" hidden="false" outlineLevel="0" max="1025" min="32" style="0" width="8.53"/>
  </cols>
  <sheetData>
    <row r="1" s="1" customFormat="true" ht="44.25" hidden="false" customHeight="true" outlineLevel="0" collapsed="false">
      <c r="A1" s="1" t="s">
        <v>47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3" t="s">
        <v>520</v>
      </c>
      <c r="AF1" s="3" t="s">
        <v>521</v>
      </c>
      <c r="AG1" s="3" t="s">
        <v>522</v>
      </c>
      <c r="AH1" s="3" t="s">
        <v>523</v>
      </c>
    </row>
    <row r="2" customFormat="false" ht="15" hidden="false" customHeight="false" outlineLevel="0" collapsed="false">
      <c r="A2" s="0" t="s">
        <v>405</v>
      </c>
      <c r="B2" s="0" t="s">
        <v>403</v>
      </c>
      <c r="C2" s="0" t="s">
        <v>404</v>
      </c>
      <c r="D2" s="0" t="n">
        <v>16.78596</v>
      </c>
      <c r="E2" s="0" t="n">
        <v>18.05648</v>
      </c>
      <c r="F2" s="0" t="n">
        <v>15.69936</v>
      </c>
      <c r="G2" s="0" t="n">
        <v>14.44074</v>
      </c>
      <c r="H2" s="0" t="n">
        <v>16.72014</v>
      </c>
      <c r="I2" s="0" t="n">
        <v>16.60659</v>
      </c>
      <c r="J2" s="0" t="n">
        <v>16.97074</v>
      </c>
      <c r="K2" s="0" t="n">
        <v>18.47524</v>
      </c>
      <c r="L2" s="0" t="n">
        <v>16.42244</v>
      </c>
      <c r="M2" s="0" t="n">
        <v>16.16857</v>
      </c>
      <c r="N2" s="0" t="n">
        <v>17.58701</v>
      </c>
      <c r="O2" s="0" t="n">
        <v>20.27185</v>
      </c>
      <c r="P2" s="0" t="n">
        <v>18.03676</v>
      </c>
      <c r="Q2" s="0" t="n">
        <v>18.40736</v>
      </c>
      <c r="R2" s="0" t="n">
        <v>19.17959</v>
      </c>
      <c r="S2" s="0" t="n">
        <v>17.28446</v>
      </c>
      <c r="T2" s="0" t="n">
        <v>18.10585</v>
      </c>
      <c r="U2" s="0" t="n">
        <v>17.806</v>
      </c>
      <c r="V2" s="0" t="n">
        <v>16.92021</v>
      </c>
      <c r="W2" s="0" t="n">
        <v>17.12485</v>
      </c>
      <c r="X2" s="0" t="n">
        <v>19.54764</v>
      </c>
      <c r="Y2" s="0" t="n">
        <v>18.38545</v>
      </c>
      <c r="Z2" s="0" t="n">
        <v>20.13884</v>
      </c>
      <c r="AA2" s="0" t="n">
        <v>19.62501</v>
      </c>
      <c r="AB2" s="0" t="n">
        <v>19.50798</v>
      </c>
      <c r="AC2" s="0" t="n">
        <v>18.38119</v>
      </c>
      <c r="AD2" s="0" t="n">
        <v>19.01258</v>
      </c>
      <c r="AE2" s="4" t="n">
        <f aca="false">_xlfn.T.TEST(D2:J2,K2:W2,1,2)</f>
        <v>0.00936088543401474</v>
      </c>
      <c r="AF2" s="5" t="n">
        <f aca="false">_xlfn.T.TEST(K2:W2,X2:AD2,1,2)</f>
        <v>0.00378867266592644</v>
      </c>
      <c r="AG2" s="4" t="n">
        <f aca="false">_xlfn.T.TEST(D2:J2,X2:AD2,1,2)</f>
        <v>6.0668698844115E-005</v>
      </c>
      <c r="AH2" s="6" t="n">
        <v>0.000348247140095455</v>
      </c>
    </row>
    <row r="3" customFormat="false" ht="15" hidden="false" customHeight="false" outlineLevel="0" collapsed="false">
      <c r="A3" s="0" t="s">
        <v>270</v>
      </c>
      <c r="B3" s="0" t="s">
        <v>268</v>
      </c>
      <c r="C3" s="0" t="s">
        <v>269</v>
      </c>
      <c r="D3" s="0" t="n">
        <v>16.24382</v>
      </c>
      <c r="E3" s="0" t="n">
        <v>17.14231</v>
      </c>
      <c r="F3" s="0" t="n">
        <v>15.76176</v>
      </c>
      <c r="G3" s="0" t="n">
        <v>17.30153</v>
      </c>
      <c r="H3" s="0" t="n">
        <v>17.00755</v>
      </c>
      <c r="I3" s="0" t="n">
        <v>17.28555</v>
      </c>
      <c r="J3" s="0" t="n">
        <v>16.3543</v>
      </c>
      <c r="K3" s="0" t="n">
        <v>16.70063</v>
      </c>
      <c r="L3" s="0" t="n">
        <v>15.83029</v>
      </c>
      <c r="M3" s="0" t="n">
        <v>18.2268</v>
      </c>
      <c r="N3" s="0" t="n">
        <v>17.75193</v>
      </c>
      <c r="O3" s="0" t="n">
        <v>18.32364</v>
      </c>
      <c r="P3" s="0" t="n">
        <v>16.63962</v>
      </c>
      <c r="Q3" s="0" t="n">
        <v>16.56577</v>
      </c>
      <c r="R3" s="0" t="n">
        <v>17.25248</v>
      </c>
      <c r="S3" s="0" t="n">
        <v>17.11085</v>
      </c>
      <c r="T3" s="0" t="n">
        <v>16.36035</v>
      </c>
      <c r="U3" s="0" t="n">
        <v>16.32214</v>
      </c>
      <c r="V3" s="0" t="n">
        <v>17.05494</v>
      </c>
      <c r="W3" s="0" t="n">
        <v>17.29634</v>
      </c>
      <c r="X3" s="0" t="n">
        <v>18.52573</v>
      </c>
      <c r="Y3" s="0" t="n">
        <v>17.77069</v>
      </c>
      <c r="Z3" s="0" t="n">
        <v>18.16074</v>
      </c>
      <c r="AA3" s="0" t="n">
        <v>18.12999</v>
      </c>
      <c r="AB3" s="0" t="n">
        <v>18.44107</v>
      </c>
      <c r="AC3" s="0" t="n">
        <v>17.22703</v>
      </c>
      <c r="AD3" s="0" t="n">
        <v>18.75418</v>
      </c>
      <c r="AE3" s="0" t="n">
        <f aca="false">_xlfn.T.TEST(D3:J3,K3:W3,1,2)</f>
        <v>0.182135851585014</v>
      </c>
      <c r="AF3" s="5" t="n">
        <f aca="false">_xlfn.T.TEST(K3:W3,X3:AD3,1,2)</f>
        <v>0.00125381138501848</v>
      </c>
      <c r="AG3" s="5" t="n">
        <f aca="false">_xlfn.T.TEST(D3:J3,X3:AD3,1,2)</f>
        <v>0.000249497650889042</v>
      </c>
      <c r="AH3" s="6" t="n">
        <v>0.00392221330848682</v>
      </c>
    </row>
    <row r="4" customFormat="false" ht="15" hidden="false" customHeight="false" outlineLevel="0" collapsed="false">
      <c r="A4" s="0" t="s">
        <v>358</v>
      </c>
      <c r="B4" s="0" t="s">
        <v>356</v>
      </c>
      <c r="C4" s="0" t="s">
        <v>357</v>
      </c>
      <c r="D4" s="0" t="n">
        <v>16.02046</v>
      </c>
      <c r="E4" s="0" t="n">
        <v>15.7902</v>
      </c>
      <c r="F4" s="0" t="n">
        <v>17.31857</v>
      </c>
      <c r="G4" s="0" t="n">
        <v>15.55219</v>
      </c>
      <c r="H4" s="0" t="n">
        <v>16.12434</v>
      </c>
      <c r="I4" s="0" t="n">
        <v>15.9681</v>
      </c>
      <c r="J4" s="0" t="n">
        <v>15.68294</v>
      </c>
      <c r="K4" s="0" t="n">
        <v>15.90616</v>
      </c>
      <c r="L4" s="0" t="n">
        <v>16.61999</v>
      </c>
      <c r="M4" s="0" t="n">
        <v>16.52595</v>
      </c>
      <c r="N4" s="0" t="n">
        <v>17.14049</v>
      </c>
      <c r="O4" s="0" t="n">
        <v>15.90221</v>
      </c>
      <c r="P4" s="0" t="n">
        <v>15.48963</v>
      </c>
      <c r="Q4" s="0" t="n">
        <v>16.82588</v>
      </c>
      <c r="R4" s="0" t="n">
        <v>16.2439</v>
      </c>
      <c r="S4" s="0" t="n">
        <v>15.73026</v>
      </c>
      <c r="T4" s="0" t="n">
        <v>15.51859</v>
      </c>
      <c r="U4" s="0" t="n">
        <v>15.63138</v>
      </c>
      <c r="V4" s="0" t="n">
        <v>16.02215</v>
      </c>
      <c r="W4" s="0" t="n">
        <v>16.05219</v>
      </c>
      <c r="X4" s="0" t="n">
        <v>16.93041</v>
      </c>
      <c r="Y4" s="0" t="n">
        <v>16.85404</v>
      </c>
      <c r="Z4" s="0" t="n">
        <v>17.3617</v>
      </c>
      <c r="AA4" s="0" t="n">
        <v>17.03628</v>
      </c>
      <c r="AB4" s="0" t="n">
        <v>16.76046</v>
      </c>
      <c r="AC4" s="0" t="n">
        <v>16.6986</v>
      </c>
      <c r="AD4" s="0" t="n">
        <v>16.68099</v>
      </c>
      <c r="AE4" s="0" t="n">
        <f aca="false">_xlfn.T.TEST(D4:J4,K4:W4,1,2)</f>
        <v>0.410342522422316</v>
      </c>
      <c r="AF4" s="5" t="n">
        <f aca="false">_xlfn.T.TEST(K4:W4,X4:AD4,1,2)</f>
        <v>0.000760070340306776</v>
      </c>
      <c r="AG4" s="5" t="n">
        <f aca="false">_xlfn.T.TEST(D4:J4,X4:AD4,1,2)</f>
        <v>0.00220876039368442</v>
      </c>
      <c r="AH4" s="6" t="n">
        <v>0.00512026172968307</v>
      </c>
    </row>
    <row r="5" customFormat="false" ht="15" hidden="false" customHeight="false" outlineLevel="0" collapsed="false">
      <c r="A5" s="0" t="s">
        <v>120</v>
      </c>
      <c r="B5" s="0" t="s">
        <v>118</v>
      </c>
      <c r="C5" s="0" t="s">
        <v>119</v>
      </c>
      <c r="D5" s="0" t="n">
        <v>20.96332</v>
      </c>
      <c r="E5" s="0" t="n">
        <v>20.67702</v>
      </c>
      <c r="F5" s="0" t="n">
        <v>20.54189</v>
      </c>
      <c r="G5" s="0" t="n">
        <v>20.74706</v>
      </c>
      <c r="H5" s="0" t="n">
        <v>21.04347</v>
      </c>
      <c r="I5" s="0" t="n">
        <v>21.29603</v>
      </c>
      <c r="J5" s="0" t="n">
        <v>20.57089</v>
      </c>
      <c r="K5" s="0" t="n">
        <v>21.89078</v>
      </c>
      <c r="L5" s="0" t="n">
        <v>21.34965</v>
      </c>
      <c r="M5" s="0" t="n">
        <v>21.53867</v>
      </c>
      <c r="N5" s="0" t="n">
        <v>21.20729</v>
      </c>
      <c r="O5" s="0" t="n">
        <v>20.77427</v>
      </c>
      <c r="P5" s="0" t="n">
        <v>22.25664</v>
      </c>
      <c r="Q5" s="0" t="n">
        <v>20.42859</v>
      </c>
      <c r="R5" s="0" t="n">
        <v>20.6054</v>
      </c>
      <c r="S5" s="0" t="n">
        <v>21.66514</v>
      </c>
      <c r="T5" s="0" t="n">
        <v>21.5609</v>
      </c>
      <c r="U5" s="0" t="n">
        <v>21.02715</v>
      </c>
      <c r="V5" s="0" t="n">
        <v>21.52061</v>
      </c>
      <c r="W5" s="0" t="n">
        <v>21.20108</v>
      </c>
      <c r="X5" s="0" t="n">
        <v>22.83148</v>
      </c>
      <c r="Y5" s="0" t="n">
        <v>21.84487</v>
      </c>
      <c r="Z5" s="0" t="n">
        <v>21.31529</v>
      </c>
      <c r="AA5" s="0" t="n">
        <v>21.30084</v>
      </c>
      <c r="AB5" s="0" t="n">
        <v>21.68496</v>
      </c>
      <c r="AC5" s="0" t="n">
        <v>21.60612</v>
      </c>
      <c r="AD5" s="0" t="n">
        <v>21.75666</v>
      </c>
      <c r="AE5" s="4" t="n">
        <f aca="false">_xlfn.T.TEST(D5:J5,K5:W5,1,2)</f>
        <v>0.0184490078946344</v>
      </c>
      <c r="AF5" s="4" t="n">
        <f aca="false">_xlfn.T.TEST(K5:W5,X5:AD5,1,2)</f>
        <v>0.0384460375566152</v>
      </c>
      <c r="AG5" s="5" t="n">
        <f aca="false">_xlfn.T.TEST(D5:J5,X5:AD5,1,2)</f>
        <v>0.000616682579434896</v>
      </c>
      <c r="AH5" s="6" t="n">
        <v>0.00719511007317631</v>
      </c>
    </row>
    <row r="6" customFormat="false" ht="15" hidden="false" customHeight="false" outlineLevel="0" collapsed="false">
      <c r="A6" s="0" t="s">
        <v>267</v>
      </c>
      <c r="B6" s="0" t="s">
        <v>265</v>
      </c>
      <c r="C6" s="0" t="s">
        <v>266</v>
      </c>
      <c r="D6" s="0" t="n">
        <v>22.98031</v>
      </c>
      <c r="E6" s="0" t="n">
        <v>21.90709</v>
      </c>
      <c r="F6" s="0" t="n">
        <v>24.07006</v>
      </c>
      <c r="G6" s="0" t="n">
        <v>23.03159</v>
      </c>
      <c r="H6" s="0" t="n">
        <v>23.10642</v>
      </c>
      <c r="I6" s="0" t="n">
        <v>22.70571</v>
      </c>
      <c r="J6" s="0" t="n">
        <v>23.16249</v>
      </c>
      <c r="K6" s="0" t="n">
        <v>22.8304</v>
      </c>
      <c r="L6" s="0" t="n">
        <v>22.5763</v>
      </c>
      <c r="M6" s="0" t="n">
        <v>21.65949</v>
      </c>
      <c r="N6" s="0" t="n">
        <v>19.82833</v>
      </c>
      <c r="O6" s="0" t="n">
        <v>19.97113</v>
      </c>
      <c r="P6" s="0" t="n">
        <v>22.89754</v>
      </c>
      <c r="Q6" s="0" t="n">
        <v>23.34001</v>
      </c>
      <c r="R6" s="0" t="n">
        <v>22.03043</v>
      </c>
      <c r="S6" s="0" t="n">
        <v>22.29972</v>
      </c>
      <c r="T6" s="0" t="n">
        <v>22.97661</v>
      </c>
      <c r="U6" s="0" t="n">
        <v>23.45864</v>
      </c>
      <c r="V6" s="0" t="n">
        <v>21.62489</v>
      </c>
      <c r="W6" s="0" t="n">
        <v>23.34692</v>
      </c>
      <c r="X6" s="0" t="n">
        <v>20.93524</v>
      </c>
      <c r="Y6" s="0" t="n">
        <v>19.40811</v>
      </c>
      <c r="Z6" s="0" t="n">
        <v>21.64042</v>
      </c>
      <c r="AA6" s="0" t="n">
        <v>21.53645</v>
      </c>
      <c r="AB6" s="0" t="n">
        <v>21.87335</v>
      </c>
      <c r="AC6" s="0" t="n">
        <v>20.96346</v>
      </c>
      <c r="AD6" s="0" t="n">
        <v>22.27807</v>
      </c>
      <c r="AE6" s="0" t="n">
        <f aca="false">_xlfn.T.TEST(D6:J6,K6:W6,1,2)</f>
        <v>0.0647086609440807</v>
      </c>
      <c r="AF6" s="4" t="n">
        <f aca="false">_xlfn.T.TEST(K6:W6,X6:AD6,1,2)</f>
        <v>0.0377517793554676</v>
      </c>
      <c r="AG6" s="5" t="n">
        <f aca="false">_xlfn.T.TEST(D6:J6,X6:AD6,1,2)</f>
        <v>0.000724631466212401</v>
      </c>
      <c r="AH6" s="6" t="n">
        <v>0.00821604024983094</v>
      </c>
    </row>
    <row r="7" customFormat="false" ht="15" hidden="false" customHeight="false" outlineLevel="0" collapsed="false">
      <c r="A7" s="0" t="s">
        <v>313</v>
      </c>
      <c r="B7" s="0" t="s">
        <v>311</v>
      </c>
      <c r="C7" s="0" t="s">
        <v>312</v>
      </c>
      <c r="D7" s="0" t="n">
        <v>17.94575</v>
      </c>
      <c r="E7" s="0" t="n">
        <v>18.26109</v>
      </c>
      <c r="F7" s="0" t="n">
        <v>16.21544</v>
      </c>
      <c r="G7" s="0" t="n">
        <v>19.31816</v>
      </c>
      <c r="H7" s="0" t="n">
        <v>18.04383</v>
      </c>
      <c r="I7" s="0" t="n">
        <v>18.61956</v>
      </c>
      <c r="J7" s="0" t="n">
        <v>17.18911</v>
      </c>
      <c r="K7" s="0" t="n">
        <v>18.18979</v>
      </c>
      <c r="L7" s="0" t="n">
        <v>18.69074</v>
      </c>
      <c r="M7" s="0" t="n">
        <v>18.8465</v>
      </c>
      <c r="N7" s="0" t="n">
        <v>16.09975</v>
      </c>
      <c r="O7" s="0" t="n">
        <v>17.44581</v>
      </c>
      <c r="P7" s="0" t="n">
        <v>18.84739</v>
      </c>
      <c r="Q7" s="0" t="n">
        <v>14.16608</v>
      </c>
      <c r="R7" s="0" t="n">
        <v>18.36863</v>
      </c>
      <c r="S7" s="0" t="n">
        <v>17.86961</v>
      </c>
      <c r="T7" s="0" t="n">
        <v>18.51991</v>
      </c>
      <c r="U7" s="0" t="n">
        <v>18.20003</v>
      </c>
      <c r="V7" s="0" t="n">
        <v>17.5939</v>
      </c>
      <c r="W7" s="0" t="n">
        <v>18.74067</v>
      </c>
      <c r="X7" s="0" t="n">
        <v>19.62776</v>
      </c>
      <c r="Y7" s="0" t="n">
        <v>20.61477</v>
      </c>
      <c r="Z7" s="0" t="n">
        <v>19.18171</v>
      </c>
      <c r="AA7" s="0" t="n">
        <v>19.13976</v>
      </c>
      <c r="AB7" s="0" t="n">
        <v>19.06745</v>
      </c>
      <c r="AC7" s="0" t="n">
        <v>19.46702</v>
      </c>
      <c r="AD7" s="0" t="n">
        <v>18.1849</v>
      </c>
      <c r="AE7" s="0" t="n">
        <f aca="false">_xlfn.T.TEST(D7:J7,K7:W7,1,2)</f>
        <v>0.413463747555084</v>
      </c>
      <c r="AF7" s="5" t="n">
        <f aca="false">_xlfn.T.TEST(K7:W7,X7:AD7,1,2)</f>
        <v>0.00636487011675006</v>
      </c>
      <c r="AG7" s="5" t="n">
        <f aca="false">_xlfn.T.TEST(D7:J7,X7:AD7,1,2)</f>
        <v>0.0060008396820218</v>
      </c>
      <c r="AH7" s="7" t="n">
        <v>0.0150608509205985</v>
      </c>
    </row>
    <row r="8" customFormat="false" ht="15" hidden="false" customHeight="false" outlineLevel="0" collapsed="false">
      <c r="A8" s="0" t="s">
        <v>457</v>
      </c>
      <c r="B8" s="0" t="s">
        <v>455</v>
      </c>
      <c r="C8" s="0" t="s">
        <v>456</v>
      </c>
      <c r="D8" s="0" t="n">
        <v>16.21534</v>
      </c>
      <c r="E8" s="0" t="n">
        <v>16.30048</v>
      </c>
      <c r="F8" s="0" t="n">
        <v>15.61976</v>
      </c>
      <c r="G8" s="0" t="n">
        <v>16.16632</v>
      </c>
      <c r="H8" s="0" t="n">
        <v>17.03585</v>
      </c>
      <c r="I8" s="0" t="n">
        <v>16.39178</v>
      </c>
      <c r="J8" s="0" t="n">
        <v>15.98471</v>
      </c>
      <c r="K8" s="0" t="n">
        <v>16.69411</v>
      </c>
      <c r="L8" s="0" t="n">
        <v>16.23013</v>
      </c>
      <c r="M8" s="0" t="n">
        <v>15.44928</v>
      </c>
      <c r="N8" s="0" t="n">
        <v>16.50285</v>
      </c>
      <c r="O8" s="0" t="n">
        <v>15.37819</v>
      </c>
      <c r="P8" s="0" t="n">
        <v>17.1449</v>
      </c>
      <c r="Q8" s="0" t="n">
        <v>19.25403</v>
      </c>
      <c r="R8" s="0" t="n">
        <v>16.11405</v>
      </c>
      <c r="S8" s="0" t="n">
        <v>17.01574</v>
      </c>
      <c r="T8" s="0" t="n">
        <v>16.02393</v>
      </c>
      <c r="U8" s="0" t="n">
        <v>16.37154</v>
      </c>
      <c r="V8" s="0" t="n">
        <v>16.5501</v>
      </c>
      <c r="W8" s="0" t="n">
        <v>16.15853</v>
      </c>
      <c r="X8" s="0" t="n">
        <v>17.90006</v>
      </c>
      <c r="Y8" s="0" t="n">
        <v>16.64118</v>
      </c>
      <c r="Z8" s="0" t="n">
        <v>17.71773</v>
      </c>
      <c r="AA8" s="0" t="n">
        <v>17.4803</v>
      </c>
      <c r="AB8" s="0" t="n">
        <v>17.48093</v>
      </c>
      <c r="AC8" s="0" t="n">
        <v>17.06855</v>
      </c>
      <c r="AD8" s="0" t="n">
        <v>16.80663</v>
      </c>
      <c r="AE8" s="0" t="n">
        <f aca="false">_xlfn.T.TEST(D8:J8,K8:W8,1,2)</f>
        <v>0.236338269100689</v>
      </c>
      <c r="AF8" s="4" t="n">
        <f aca="false">_xlfn.T.TEST(K8:W8,X8:AD8,1,2)</f>
        <v>0.032564359647988</v>
      </c>
      <c r="AG8" s="5" t="n">
        <f aca="false">_xlfn.T.TEST(D8:J8,X8:AD8,1,2)</f>
        <v>0.000457040718468122</v>
      </c>
      <c r="AH8" s="7" t="n">
        <v>0.0347619184017404</v>
      </c>
    </row>
    <row r="9" customFormat="false" ht="15" hidden="false" customHeight="false" outlineLevel="0" collapsed="false">
      <c r="A9" s="0" t="s">
        <v>181</v>
      </c>
      <c r="B9" s="0" t="s">
        <v>179</v>
      </c>
      <c r="C9" s="0" t="s">
        <v>180</v>
      </c>
      <c r="D9" s="0" t="n">
        <v>23.58532</v>
      </c>
      <c r="E9" s="0" t="n">
        <v>23.53362</v>
      </c>
      <c r="F9" s="0" t="n">
        <v>23.59651</v>
      </c>
      <c r="G9" s="0" t="n">
        <v>23.84221</v>
      </c>
      <c r="H9" s="0" t="n">
        <v>23.31645</v>
      </c>
      <c r="I9" s="0" t="n">
        <v>22.49644</v>
      </c>
      <c r="J9" s="0" t="n">
        <v>23.87549</v>
      </c>
      <c r="K9" s="0" t="n">
        <v>23.47172</v>
      </c>
      <c r="L9" s="0" t="n">
        <v>23.56221</v>
      </c>
      <c r="M9" s="0" t="n">
        <v>24.53996</v>
      </c>
      <c r="N9" s="0" t="n">
        <v>23.6319</v>
      </c>
      <c r="O9" s="0" t="n">
        <v>24.33525</v>
      </c>
      <c r="P9" s="0" t="n">
        <v>22.97085</v>
      </c>
      <c r="Q9" s="0" t="n">
        <v>22.08725</v>
      </c>
      <c r="R9" s="0" t="n">
        <v>23.92678</v>
      </c>
      <c r="S9" s="0" t="n">
        <v>23.96023</v>
      </c>
      <c r="T9" s="0" t="n">
        <v>22.65456</v>
      </c>
      <c r="U9" s="0" t="n">
        <v>23.7965</v>
      </c>
      <c r="V9" s="0" t="n">
        <v>24.20195</v>
      </c>
      <c r="W9" s="0" t="n">
        <v>23.77113</v>
      </c>
      <c r="X9" s="0" t="n">
        <v>25.8235</v>
      </c>
      <c r="Y9" s="0" t="n">
        <v>25.93373</v>
      </c>
      <c r="Z9" s="0" t="n">
        <v>23.73624</v>
      </c>
      <c r="AA9" s="0" t="n">
        <v>23.6659</v>
      </c>
      <c r="AB9" s="0" t="n">
        <v>24.2292</v>
      </c>
      <c r="AC9" s="0" t="n">
        <v>23.70588</v>
      </c>
      <c r="AD9" s="0" t="n">
        <v>23.50628</v>
      </c>
      <c r="AE9" s="0" t="n">
        <f aca="false">_xlfn.T.TEST(D9:J9,K9:W9,1,2)</f>
        <v>0.313167303390539</v>
      </c>
      <c r="AF9" s="4" t="n">
        <f aca="false">_xlfn.T.TEST(K9:W9,X9:AD9,1,2)</f>
        <v>0.0325165462309717</v>
      </c>
      <c r="AG9" s="4" t="n">
        <f aca="false">_xlfn.T.TEST(D9:J9,X9:AD9,1,2)</f>
        <v>0.0295998522340005</v>
      </c>
      <c r="AH9" s="7" t="n">
        <v>0.0349045992974473</v>
      </c>
    </row>
    <row r="10" customFormat="false" ht="15" hidden="false" customHeight="false" outlineLevel="0" collapsed="false">
      <c r="A10" s="0" t="s">
        <v>74</v>
      </c>
      <c r="B10" s="0" t="s">
        <v>72</v>
      </c>
      <c r="C10" s="0" t="s">
        <v>73</v>
      </c>
      <c r="D10" s="0" t="n">
        <v>15.77471</v>
      </c>
      <c r="E10" s="0" t="n">
        <v>14.68699</v>
      </c>
      <c r="F10" s="0" t="n">
        <v>15.43785</v>
      </c>
      <c r="G10" s="0" t="n">
        <v>14.89562</v>
      </c>
      <c r="H10" s="0" t="n">
        <v>15.32892</v>
      </c>
      <c r="I10" s="0" t="n">
        <v>15.54104</v>
      </c>
      <c r="J10" s="0" t="n">
        <v>15.24659</v>
      </c>
      <c r="K10" s="0" t="n">
        <v>15.5487</v>
      </c>
      <c r="L10" s="0" t="n">
        <v>16.31916</v>
      </c>
      <c r="M10" s="0" t="n">
        <v>15.79454</v>
      </c>
      <c r="N10" s="0" t="n">
        <v>17.39801</v>
      </c>
      <c r="O10" s="0" t="n">
        <v>15.08771</v>
      </c>
      <c r="P10" s="0" t="n">
        <v>14.73524</v>
      </c>
      <c r="Q10" s="0" t="n">
        <v>17.84733</v>
      </c>
      <c r="R10" s="0" t="n">
        <v>15.50696</v>
      </c>
      <c r="S10" s="0" t="n">
        <v>15.46001</v>
      </c>
      <c r="T10" s="0" t="n">
        <v>15.38435</v>
      </c>
      <c r="U10" s="0" t="n">
        <v>15.73349</v>
      </c>
      <c r="V10" s="0" t="n">
        <v>15.60073</v>
      </c>
      <c r="W10" s="0" t="n">
        <v>15.82215</v>
      </c>
      <c r="X10" s="0" t="n">
        <v>15.03381</v>
      </c>
      <c r="Y10" s="0" t="n">
        <v>15.58317</v>
      </c>
      <c r="Z10" s="0" t="n">
        <v>15.3093</v>
      </c>
      <c r="AA10" s="0" t="n">
        <v>14.44657</v>
      </c>
      <c r="AB10" s="0" t="n">
        <v>13.99418</v>
      </c>
      <c r="AC10" s="0" t="n">
        <v>15.28435</v>
      </c>
      <c r="AD10" s="0" t="n">
        <v>14.44443</v>
      </c>
      <c r="AE10" s="0" t="n">
        <f aca="false">_xlfn.T.TEST(D10:J10,K10:W10,1,2)</f>
        <v>0.0532777664763738</v>
      </c>
      <c r="AF10" s="5" t="n">
        <f aca="false">_xlfn.T.TEST(K10:W10,X10:AD10,1,2)</f>
        <v>0.00736137743396509</v>
      </c>
      <c r="AG10" s="0" t="n">
        <f aca="false">_xlfn.T.TEST(D10:J10,X10:AD10,1,2)</f>
        <v>0.0748217355642571</v>
      </c>
      <c r="AH10" s="7" t="n">
        <v>0.0354764389316172</v>
      </c>
    </row>
    <row r="11" customFormat="false" ht="15" hidden="false" customHeight="false" outlineLevel="0" collapsed="false">
      <c r="A11" s="0" t="s">
        <v>366</v>
      </c>
      <c r="B11" s="0" t="s">
        <v>364</v>
      </c>
      <c r="C11" s="0" t="s">
        <v>365</v>
      </c>
      <c r="D11" s="0" t="n">
        <v>18.05944</v>
      </c>
      <c r="E11" s="0" t="n">
        <v>18.7291</v>
      </c>
      <c r="F11" s="0" t="n">
        <v>17.40116</v>
      </c>
      <c r="G11" s="0" t="n">
        <v>17.94318</v>
      </c>
      <c r="H11" s="0" t="n">
        <v>18.60675</v>
      </c>
      <c r="I11" s="0" t="n">
        <v>17.94392</v>
      </c>
      <c r="J11" s="0" t="n">
        <v>18.93163</v>
      </c>
      <c r="K11" s="0" t="n">
        <v>19.06361</v>
      </c>
      <c r="L11" s="0" t="n">
        <v>17.90906</v>
      </c>
      <c r="M11" s="0" t="n">
        <v>19.59685</v>
      </c>
      <c r="N11" s="0" t="n">
        <v>16.78227</v>
      </c>
      <c r="O11" s="0" t="n">
        <v>19.86814</v>
      </c>
      <c r="P11" s="0" t="n">
        <v>19.28281</v>
      </c>
      <c r="Q11" s="0" t="n">
        <v>18.8593</v>
      </c>
      <c r="R11" s="0" t="n">
        <v>19.58127</v>
      </c>
      <c r="S11" s="0" t="n">
        <v>19.39412</v>
      </c>
      <c r="T11" s="0" t="n">
        <v>18.9598</v>
      </c>
      <c r="U11" s="0" t="n">
        <v>19.26075</v>
      </c>
      <c r="V11" s="0" t="n">
        <v>18.98624</v>
      </c>
      <c r="W11" s="0" t="n">
        <v>18.86097</v>
      </c>
      <c r="X11" s="0" t="n">
        <v>19.94692</v>
      </c>
      <c r="Y11" s="0" t="n">
        <v>19.32518</v>
      </c>
      <c r="Z11" s="0" t="n">
        <v>19.11589</v>
      </c>
      <c r="AA11" s="0" t="n">
        <v>19.17616</v>
      </c>
      <c r="AB11" s="0" t="n">
        <v>19.15889</v>
      </c>
      <c r="AC11" s="0" t="n">
        <v>18.48625</v>
      </c>
      <c r="AD11" s="0" t="n">
        <v>19.39475</v>
      </c>
      <c r="AE11" s="4" t="n">
        <f aca="false">_xlfn.T.TEST(D11:J11,K11:W11,1,2)</f>
        <v>0.0246187720689221</v>
      </c>
      <c r="AF11" s="0" t="n">
        <f aca="false">_xlfn.T.TEST(K11:W11,X11:AD11,1,2)</f>
        <v>0.208925077149483</v>
      </c>
      <c r="AG11" s="5" t="n">
        <f aca="false">_xlfn.T.TEST(D11:J11,X11:AD11,1,2)</f>
        <v>0.00124759378387323</v>
      </c>
      <c r="AH11" s="7" t="n">
        <v>0.0377633143863771</v>
      </c>
    </row>
    <row r="12" customFormat="false" ht="15" hidden="false" customHeight="false" outlineLevel="0" collapsed="false">
      <c r="A12" s="0" t="s">
        <v>214</v>
      </c>
      <c r="B12" s="0" t="s">
        <v>212</v>
      </c>
      <c r="C12" s="0" t="s">
        <v>213</v>
      </c>
      <c r="D12" s="0" t="n">
        <v>23.89097</v>
      </c>
      <c r="E12" s="0" t="n">
        <v>23.85785</v>
      </c>
      <c r="F12" s="0" t="n">
        <v>23.6826</v>
      </c>
      <c r="G12" s="0" t="n">
        <v>24.42137</v>
      </c>
      <c r="H12" s="0" t="n">
        <v>23.84479</v>
      </c>
      <c r="I12" s="0" t="n">
        <v>24.52486</v>
      </c>
      <c r="J12" s="0" t="n">
        <v>23.16967</v>
      </c>
      <c r="K12" s="0" t="n">
        <v>24.16576</v>
      </c>
      <c r="L12" s="0" t="n">
        <v>24.37716</v>
      </c>
      <c r="M12" s="0" t="n">
        <v>24.56587</v>
      </c>
      <c r="N12" s="0" t="n">
        <v>24.21045</v>
      </c>
      <c r="O12" s="0" t="n">
        <v>23.38232</v>
      </c>
      <c r="P12" s="0" t="n">
        <v>24.58898</v>
      </c>
      <c r="Q12" s="0" t="n">
        <v>22.08686</v>
      </c>
      <c r="R12" s="0" t="n">
        <v>23.11775</v>
      </c>
      <c r="S12" s="0" t="n">
        <v>23.32937</v>
      </c>
      <c r="T12" s="0" t="n">
        <v>24.00779</v>
      </c>
      <c r="U12" s="0" t="n">
        <v>24.02775</v>
      </c>
      <c r="V12" s="0" t="n">
        <v>23.76517</v>
      </c>
      <c r="W12" s="0" t="n">
        <v>23.69869</v>
      </c>
      <c r="X12" s="0" t="n">
        <v>25.17798</v>
      </c>
      <c r="Y12" s="0" t="n">
        <v>25.41806</v>
      </c>
      <c r="Z12" s="0" t="n">
        <v>24.16928</v>
      </c>
      <c r="AA12" s="0" t="n">
        <v>23.9771</v>
      </c>
      <c r="AB12" s="0" t="n">
        <v>24.55104</v>
      </c>
      <c r="AC12" s="0" t="n">
        <v>24.27327</v>
      </c>
      <c r="AD12" s="0" t="n">
        <v>24.03078</v>
      </c>
      <c r="AE12" s="0" t="n">
        <f aca="false">_xlfn.T.TEST(D12:J12,K12:W12,1,2)</f>
        <v>0.344305084854419</v>
      </c>
      <c r="AF12" s="4" t="n">
        <f aca="false">_xlfn.T.TEST(K12:W12,X12:AD12,1,2)</f>
        <v>0.0152922334357691</v>
      </c>
      <c r="AG12" s="4" t="n">
        <f aca="false">_xlfn.T.TEST(D12:J12,X12:AD12,1,2)</f>
        <v>0.0251759416764973</v>
      </c>
      <c r="AH12" s="7" t="n">
        <v>0.0434588178945549</v>
      </c>
    </row>
    <row r="13" customFormat="false" ht="15" hidden="false" customHeight="false" outlineLevel="0" collapsed="false">
      <c r="A13" s="0" t="s">
        <v>258</v>
      </c>
      <c r="B13" s="0" t="s">
        <v>256</v>
      </c>
      <c r="C13" s="0" t="s">
        <v>257</v>
      </c>
      <c r="D13" s="0" t="n">
        <v>24.96596</v>
      </c>
      <c r="E13" s="0" t="n">
        <v>24.09901</v>
      </c>
      <c r="F13" s="0" t="n">
        <v>24.81924</v>
      </c>
      <c r="G13" s="0" t="n">
        <v>24.01657</v>
      </c>
      <c r="H13" s="0" t="n">
        <v>24.51653</v>
      </c>
      <c r="I13" s="0" t="n">
        <v>24.61116</v>
      </c>
      <c r="J13" s="0" t="n">
        <v>24.2832</v>
      </c>
      <c r="K13" s="0" t="n">
        <v>24.3041</v>
      </c>
      <c r="L13" s="0" t="n">
        <v>24.93233</v>
      </c>
      <c r="M13" s="0" t="n">
        <v>24.19551</v>
      </c>
      <c r="N13" s="0" t="n">
        <v>24.56877</v>
      </c>
      <c r="O13" s="0" t="n">
        <v>24.19302</v>
      </c>
      <c r="P13" s="0" t="n">
        <v>24.11854</v>
      </c>
      <c r="Q13" s="0" t="n">
        <v>25.18854</v>
      </c>
      <c r="R13" s="0" t="n">
        <v>24.19528</v>
      </c>
      <c r="S13" s="0" t="n">
        <v>23.91296</v>
      </c>
      <c r="T13" s="0" t="n">
        <v>24.25335</v>
      </c>
      <c r="U13" s="0" t="n">
        <v>24.36713</v>
      </c>
      <c r="V13" s="0" t="n">
        <v>24.21756</v>
      </c>
      <c r="W13" s="0" t="n">
        <v>24.19272</v>
      </c>
      <c r="X13" s="0" t="n">
        <v>23.76871</v>
      </c>
      <c r="Y13" s="0" t="n">
        <v>24.34449</v>
      </c>
      <c r="Z13" s="0" t="n">
        <v>24.08221</v>
      </c>
      <c r="AA13" s="0" t="n">
        <v>24.13156</v>
      </c>
      <c r="AB13" s="0" t="n">
        <v>23.34597</v>
      </c>
      <c r="AC13" s="0" t="n">
        <v>24.21334</v>
      </c>
      <c r="AD13" s="0" t="n">
        <v>23.49558</v>
      </c>
      <c r="AE13" s="0" t="n">
        <f aca="false">_xlfn.T.TEST(D13:J13,K13:W13,1,2)</f>
        <v>0.245117919679561</v>
      </c>
      <c r="AF13" s="5" t="n">
        <f aca="false">_xlfn.T.TEST(K13:W13,X13:AD13,1,2)</f>
        <v>0.00832488846530414</v>
      </c>
      <c r="AG13" s="5" t="n">
        <f aca="false">_xlfn.T.TEST(D13:J13,X13:AD13,1,2)</f>
        <v>0.00740369404795393</v>
      </c>
      <c r="AH13" s="7" t="n">
        <v>0.049939150544353</v>
      </c>
    </row>
    <row r="14" customFormat="false" ht="15" hidden="false" customHeight="false" outlineLevel="0" collapsed="false">
      <c r="A14" s="0" t="s">
        <v>379</v>
      </c>
      <c r="B14" s="0" t="s">
        <v>377</v>
      </c>
      <c r="C14" s="0" t="s">
        <v>378</v>
      </c>
      <c r="D14" s="0" t="n">
        <v>17.76578</v>
      </c>
      <c r="E14" s="0" t="n">
        <v>18.45004</v>
      </c>
      <c r="F14" s="0" t="n">
        <v>18.42521</v>
      </c>
      <c r="G14" s="0" t="n">
        <v>18.06287</v>
      </c>
      <c r="H14" s="0" t="n">
        <v>18.06055</v>
      </c>
      <c r="I14" s="0" t="n">
        <v>18.37954</v>
      </c>
      <c r="J14" s="0" t="n">
        <v>18.24776</v>
      </c>
      <c r="K14" s="0" t="n">
        <v>18.98198</v>
      </c>
      <c r="L14" s="0" t="n">
        <v>17.87316</v>
      </c>
      <c r="M14" s="0" t="n">
        <v>17.11452</v>
      </c>
      <c r="N14" s="0" t="n">
        <v>16.39942</v>
      </c>
      <c r="O14" s="0" t="n">
        <v>17.66588</v>
      </c>
      <c r="P14" s="0" t="n">
        <v>18.30474</v>
      </c>
      <c r="Q14" s="0" t="n">
        <v>16.41277</v>
      </c>
      <c r="R14" s="0" t="n">
        <v>17.87117</v>
      </c>
      <c r="S14" s="0" t="n">
        <v>18.5126</v>
      </c>
      <c r="T14" s="0" t="n">
        <v>18.78449</v>
      </c>
      <c r="U14" s="0" t="n">
        <v>18.58226</v>
      </c>
      <c r="V14" s="0" t="n">
        <v>18.132</v>
      </c>
      <c r="W14" s="0" t="n">
        <v>18.49451</v>
      </c>
      <c r="X14" s="0" t="n">
        <v>19.50219</v>
      </c>
      <c r="Y14" s="0" t="n">
        <v>18.09151</v>
      </c>
      <c r="Z14" s="0" t="n">
        <v>18.6131</v>
      </c>
      <c r="AA14" s="0" t="n">
        <v>18.845</v>
      </c>
      <c r="AB14" s="0" t="n">
        <v>19.01838</v>
      </c>
      <c r="AC14" s="0" t="n">
        <v>18.54359</v>
      </c>
      <c r="AD14" s="0" t="n">
        <v>19.36072</v>
      </c>
      <c r="AE14" s="0" t="n">
        <f aca="false">_xlfn.T.TEST(D14:J14,K14:W14,1,2)</f>
        <v>0.214826029784778</v>
      </c>
      <c r="AF14" s="5" t="n">
        <f aca="false">_xlfn.T.TEST(K14:W14,X14:AD14,1,2)</f>
        <v>0.00825171879410871</v>
      </c>
      <c r="AG14" s="5" t="n">
        <f aca="false">_xlfn.T.TEST(D14:J14,X14:AD14,1,2)</f>
        <v>0.0041884640053957</v>
      </c>
      <c r="AH14" s="0" t="n">
        <v>0.0550272111737722</v>
      </c>
    </row>
    <row r="15" customFormat="false" ht="15" hidden="false" customHeight="false" outlineLevel="0" collapsed="false">
      <c r="A15" s="0" t="s">
        <v>303</v>
      </c>
      <c r="B15" s="0" t="s">
        <v>301</v>
      </c>
      <c r="C15" s="0" t="s">
        <v>302</v>
      </c>
      <c r="D15" s="0" t="n">
        <v>21.24383</v>
      </c>
      <c r="E15" s="0" t="n">
        <v>21.89538</v>
      </c>
      <c r="F15" s="0" t="n">
        <v>21.94575</v>
      </c>
      <c r="G15" s="0" t="n">
        <v>22.34889</v>
      </c>
      <c r="H15" s="0" t="n">
        <v>21.82881</v>
      </c>
      <c r="I15" s="0" t="n">
        <v>22.31915</v>
      </c>
      <c r="J15" s="0" t="n">
        <v>21.06151</v>
      </c>
      <c r="K15" s="0" t="n">
        <v>21.70455</v>
      </c>
      <c r="L15" s="0" t="n">
        <v>21.46628</v>
      </c>
      <c r="M15" s="0" t="n">
        <v>21.1925</v>
      </c>
      <c r="N15" s="0" t="n">
        <v>21.20812</v>
      </c>
      <c r="O15" s="0" t="n">
        <v>19.46579</v>
      </c>
      <c r="P15" s="0" t="n">
        <v>22.1006</v>
      </c>
      <c r="Q15" s="0" t="n">
        <v>20.60277</v>
      </c>
      <c r="R15" s="0" t="n">
        <v>20.1784</v>
      </c>
      <c r="S15" s="0" t="n">
        <v>21.29603</v>
      </c>
      <c r="T15" s="0" t="n">
        <v>21.57579</v>
      </c>
      <c r="U15" s="0" t="n">
        <v>21.92994</v>
      </c>
      <c r="V15" s="0" t="n">
        <v>21.41529</v>
      </c>
      <c r="W15" s="0" t="n">
        <v>21.88963</v>
      </c>
      <c r="X15" s="0" t="n">
        <v>22.37579</v>
      </c>
      <c r="Y15" s="0" t="n">
        <v>22.97463</v>
      </c>
      <c r="Z15" s="0" t="n">
        <v>21.52032</v>
      </c>
      <c r="AA15" s="0" t="n">
        <v>21.81026</v>
      </c>
      <c r="AB15" s="0" t="n">
        <v>21.46309</v>
      </c>
      <c r="AC15" s="0" t="n">
        <v>21.65958</v>
      </c>
      <c r="AD15" s="0" t="n">
        <v>21.79812</v>
      </c>
      <c r="AE15" s="4" t="n">
        <f aca="false">_xlfn.T.TEST(D15:J15,K15:W15,1,2)</f>
        <v>0.0432598322134152</v>
      </c>
      <c r="AF15" s="4" t="n">
        <f aca="false">_xlfn.T.TEST(K15:W15,X15:AD15,1,2)</f>
        <v>0.0204292650231171</v>
      </c>
      <c r="AG15" s="0" t="n">
        <f aca="false">_xlfn.T.TEST(D15:J15,X15:AD15,1,2)</f>
        <v>0.31535284671661</v>
      </c>
      <c r="AH15" s="0" t="n">
        <v>0.0571212464905762</v>
      </c>
    </row>
    <row r="16" customFormat="false" ht="15" hidden="false" customHeight="false" outlineLevel="0" collapsed="false">
      <c r="A16" s="0" t="s">
        <v>288</v>
      </c>
      <c r="B16" s="0" t="s">
        <v>286</v>
      </c>
      <c r="C16" s="0" t="s">
        <v>287</v>
      </c>
      <c r="D16" s="0" t="n">
        <v>21.05762</v>
      </c>
      <c r="E16" s="0" t="n">
        <v>21.19298</v>
      </c>
      <c r="F16" s="0" t="n">
        <v>19.83189</v>
      </c>
      <c r="G16" s="0" t="n">
        <v>20.48837</v>
      </c>
      <c r="H16" s="0" t="n">
        <v>20.95858</v>
      </c>
      <c r="I16" s="0" t="n">
        <v>21.10412</v>
      </c>
      <c r="J16" s="0" t="n">
        <v>20.57228</v>
      </c>
      <c r="K16" s="0" t="n">
        <v>21.41209</v>
      </c>
      <c r="L16" s="0" t="n">
        <v>21.53692</v>
      </c>
      <c r="M16" s="0" t="n">
        <v>21.85559</v>
      </c>
      <c r="N16" s="0" t="n">
        <v>20.17402</v>
      </c>
      <c r="O16" s="0" t="n">
        <v>20.80884</v>
      </c>
      <c r="P16" s="0" t="n">
        <v>21.69829</v>
      </c>
      <c r="Q16" s="0" t="n">
        <v>21.92143</v>
      </c>
      <c r="R16" s="0" t="n">
        <v>20.89933</v>
      </c>
      <c r="S16" s="0" t="n">
        <v>20.44789</v>
      </c>
      <c r="T16" s="0" t="n">
        <v>21.92133</v>
      </c>
      <c r="U16" s="0" t="n">
        <v>21.48601</v>
      </c>
      <c r="V16" s="0" t="n">
        <v>20.98001</v>
      </c>
      <c r="W16" s="0" t="n">
        <v>21.70443</v>
      </c>
      <c r="X16" s="0" t="n">
        <v>21.04046</v>
      </c>
      <c r="Y16" s="0" t="n">
        <v>21.86007</v>
      </c>
      <c r="Z16" s="0" t="n">
        <v>21.26023</v>
      </c>
      <c r="AA16" s="0" t="n">
        <v>21.47556</v>
      </c>
      <c r="AB16" s="0" t="n">
        <v>20.82951</v>
      </c>
      <c r="AC16" s="0" t="n">
        <v>21.61279</v>
      </c>
      <c r="AD16" s="0" t="n">
        <v>21.95397</v>
      </c>
      <c r="AE16" s="4" t="n">
        <f aca="false">_xlfn.T.TEST(D16:J16,K16:W16,1,2)</f>
        <v>0.0227410569739442</v>
      </c>
      <c r="AF16" s="0" t="n">
        <f aca="false">_xlfn.T.TEST(K16:W16,X16:AD16,1,2)</f>
        <v>0.293289888351967</v>
      </c>
      <c r="AG16" s="5" t="n">
        <f aca="false">_xlfn.T.TEST(D16:J16,X16:AD16,1,2)</f>
        <v>0.00715482501320002</v>
      </c>
      <c r="AH16" s="0" t="n">
        <v>0.0633033832815643</v>
      </c>
    </row>
    <row r="17" customFormat="false" ht="15" hidden="false" customHeight="false" outlineLevel="0" collapsed="false">
      <c r="A17" s="0" t="s">
        <v>127</v>
      </c>
      <c r="B17" s="0" t="s">
        <v>125</v>
      </c>
      <c r="C17" s="0" t="s">
        <v>126</v>
      </c>
      <c r="D17" s="0" t="n">
        <v>16.70523</v>
      </c>
      <c r="E17" s="0" t="n">
        <v>16.24299</v>
      </c>
      <c r="F17" s="0" t="n">
        <v>16.76552</v>
      </c>
      <c r="G17" s="0" t="n">
        <v>17.33429</v>
      </c>
      <c r="H17" s="0" t="n">
        <v>16.88178</v>
      </c>
      <c r="I17" s="0" t="n">
        <v>17.82196</v>
      </c>
      <c r="J17" s="0" t="n">
        <v>19.60695</v>
      </c>
      <c r="K17" s="0" t="n">
        <v>15.73566</v>
      </c>
      <c r="L17" s="0" t="n">
        <v>17.1434</v>
      </c>
      <c r="M17" s="0" t="n">
        <v>17.66317</v>
      </c>
      <c r="N17" s="0" t="n">
        <v>16.83415</v>
      </c>
      <c r="O17" s="0" t="n">
        <v>19.6268</v>
      </c>
      <c r="P17" s="0" t="n">
        <v>15.88855</v>
      </c>
      <c r="Q17" s="0" t="n">
        <v>16.90759</v>
      </c>
      <c r="R17" s="0" t="n">
        <v>19.55056</v>
      </c>
      <c r="S17" s="0" t="n">
        <v>16.69561</v>
      </c>
      <c r="T17" s="0" t="n">
        <v>13.50542</v>
      </c>
      <c r="U17" s="0" t="n">
        <v>15.68606</v>
      </c>
      <c r="V17" s="0" t="n">
        <v>16.28962</v>
      </c>
      <c r="W17" s="0" t="n">
        <v>16.15644</v>
      </c>
      <c r="X17" s="0" t="n">
        <v>14.86873</v>
      </c>
      <c r="Y17" s="0" t="n">
        <v>15.83061</v>
      </c>
      <c r="Z17" s="0" t="n">
        <v>16.23244</v>
      </c>
      <c r="AA17" s="0" t="n">
        <v>16.10617</v>
      </c>
      <c r="AB17" s="0" t="n">
        <v>13.92333</v>
      </c>
      <c r="AC17" s="0" t="n">
        <v>16.10607</v>
      </c>
      <c r="AD17" s="0" t="n">
        <v>14.54472</v>
      </c>
      <c r="AE17" s="0" t="n">
        <f aca="false">_xlfn.T.TEST(D17:J17,K17:W17,1,2)</f>
        <v>0.200045826769272</v>
      </c>
      <c r="AF17" s="4" t="n">
        <f aca="false">_xlfn.T.TEST(K17:W17,X17:AD17,1,2)</f>
        <v>0.0269124910657291</v>
      </c>
      <c r="AG17" s="5" t="n">
        <f aca="false">_xlfn.T.TEST(D17:J17,X17:AD17,1,2)</f>
        <v>0.00186391901964732</v>
      </c>
      <c r="AH17" s="0" t="n">
        <v>0.0698310842817766</v>
      </c>
    </row>
    <row r="18" customFormat="false" ht="15" hidden="false" customHeight="false" outlineLevel="0" collapsed="false">
      <c r="A18" s="0" t="s">
        <v>374</v>
      </c>
      <c r="B18" s="0" t="s">
        <v>372</v>
      </c>
      <c r="C18" s="0" t="s">
        <v>373</v>
      </c>
      <c r="D18" s="0" t="n">
        <v>20.59732</v>
      </c>
      <c r="E18" s="0" t="n">
        <v>20.80806</v>
      </c>
      <c r="F18" s="0" t="n">
        <v>21.12723</v>
      </c>
      <c r="G18" s="0" t="n">
        <v>20.82734</v>
      </c>
      <c r="H18" s="0" t="n">
        <v>20.50475</v>
      </c>
      <c r="I18" s="0" t="n">
        <v>21.24806</v>
      </c>
      <c r="J18" s="0" t="n">
        <v>20.79463</v>
      </c>
      <c r="K18" s="0" t="n">
        <v>20.48738</v>
      </c>
      <c r="L18" s="0" t="n">
        <v>20.82734</v>
      </c>
      <c r="M18" s="0" t="n">
        <v>20.18544</v>
      </c>
      <c r="N18" s="0" t="n">
        <v>19.13263</v>
      </c>
      <c r="O18" s="0" t="n">
        <v>20.22235</v>
      </c>
      <c r="P18" s="0" t="n">
        <v>19.27449</v>
      </c>
      <c r="Q18" s="0" t="n">
        <v>21.22317</v>
      </c>
      <c r="R18" s="0" t="n">
        <v>20.81964</v>
      </c>
      <c r="S18" s="0" t="n">
        <v>19.73089</v>
      </c>
      <c r="T18" s="0" t="n">
        <v>21.36303</v>
      </c>
      <c r="U18" s="0" t="n">
        <v>20.35917</v>
      </c>
      <c r="V18" s="0" t="n">
        <v>19.61481</v>
      </c>
      <c r="W18" s="0" t="n">
        <v>19.97533</v>
      </c>
      <c r="X18" s="0" t="n">
        <v>21.0547</v>
      </c>
      <c r="Y18" s="0" t="n">
        <v>19.64688</v>
      </c>
      <c r="Z18" s="0" t="n">
        <v>21.10463</v>
      </c>
      <c r="AA18" s="0" t="n">
        <v>20.54217</v>
      </c>
      <c r="AB18" s="0" t="n">
        <v>20.50611</v>
      </c>
      <c r="AC18" s="0" t="n">
        <v>21.02763</v>
      </c>
      <c r="AD18" s="0" t="n">
        <v>18.90448</v>
      </c>
      <c r="AE18" s="4" t="n">
        <f aca="false">_xlfn.T.TEST(D18:J18,K18:W18,1,2)</f>
        <v>0.0225720858106687</v>
      </c>
      <c r="AF18" s="0" t="n">
        <f aca="false">_xlfn.T.TEST(K18:W18,X18:AD18,1,2)</f>
        <v>0.335817971233719</v>
      </c>
      <c r="AG18" s="0" t="n">
        <f aca="false">_xlfn.T.TEST(D18:J18,X18:AD18,1,2)</f>
        <v>0.100900503490204</v>
      </c>
      <c r="AH18" s="0" t="n">
        <v>0.0942617918493002</v>
      </c>
    </row>
    <row r="19" customFormat="false" ht="15" hidden="false" customHeight="false" outlineLevel="0" collapsed="false">
      <c r="A19" s="0" t="s">
        <v>176</v>
      </c>
      <c r="B19" s="0" t="s">
        <v>174</v>
      </c>
      <c r="C19" s="0" t="s">
        <v>175</v>
      </c>
      <c r="D19" s="0" t="n">
        <v>20.1893</v>
      </c>
      <c r="E19" s="0" t="n">
        <v>21.1031</v>
      </c>
      <c r="F19" s="0" t="n">
        <v>22.07988</v>
      </c>
      <c r="G19" s="0" t="n">
        <v>20.16103</v>
      </c>
      <c r="H19" s="0" t="n">
        <v>20.12578</v>
      </c>
      <c r="I19" s="0" t="n">
        <v>20.8762</v>
      </c>
      <c r="J19" s="0" t="n">
        <v>20.2948</v>
      </c>
      <c r="K19" s="0" t="n">
        <v>20.96902</v>
      </c>
      <c r="L19" s="0" t="n">
        <v>21.16956</v>
      </c>
      <c r="M19" s="0" t="n">
        <v>21.28726</v>
      </c>
      <c r="N19" s="0" t="n">
        <v>20.71331</v>
      </c>
      <c r="O19" s="0" t="n">
        <v>20.98565</v>
      </c>
      <c r="P19" s="0" t="n">
        <v>20.89711</v>
      </c>
      <c r="Q19" s="0" t="n">
        <v>22.28876</v>
      </c>
      <c r="R19" s="0" t="n">
        <v>21.11667</v>
      </c>
      <c r="S19" s="0" t="n">
        <v>20.3705</v>
      </c>
      <c r="T19" s="0" t="n">
        <v>20.73793</v>
      </c>
      <c r="U19" s="0" t="n">
        <v>21.11642</v>
      </c>
      <c r="V19" s="0" t="n">
        <v>20.67805</v>
      </c>
      <c r="W19" s="0" t="n">
        <v>20.63848</v>
      </c>
      <c r="X19" s="0" t="n">
        <v>21.66371</v>
      </c>
      <c r="Y19" s="0" t="n">
        <v>20.97456</v>
      </c>
      <c r="Z19" s="0" t="n">
        <v>21.29855</v>
      </c>
      <c r="AA19" s="0" t="n">
        <v>21.32036</v>
      </c>
      <c r="AB19" s="0" t="n">
        <v>21.40145</v>
      </c>
      <c r="AC19" s="0" t="n">
        <v>21.31761</v>
      </c>
      <c r="AD19" s="0" t="n">
        <v>21.23199</v>
      </c>
      <c r="AE19" s="0" t="n">
        <f aca="false">_xlfn.T.TEST(D19:J19,K19:W19,1,2)</f>
        <v>0.130130462482783</v>
      </c>
      <c r="AF19" s="0" t="n">
        <f aca="false">_xlfn.T.TEST(K19:W19,X19:AD19,1,2)</f>
        <v>0.0526412267800555</v>
      </c>
      <c r="AG19" s="4" t="n">
        <f aca="false">_xlfn.T.TEST(D19:J19,X19:AD19,1,2)</f>
        <v>0.0240642634442414</v>
      </c>
      <c r="AH19" s="0" t="n">
        <v>0.100574598124401</v>
      </c>
    </row>
    <row r="20" customFormat="false" ht="15" hidden="false" customHeight="false" outlineLevel="0" collapsed="false">
      <c r="A20" s="0" t="s">
        <v>299</v>
      </c>
      <c r="B20" s="0" t="s">
        <v>297</v>
      </c>
      <c r="C20" s="0" t="s">
        <v>298</v>
      </c>
      <c r="D20" s="0" t="n">
        <v>21.75764</v>
      </c>
      <c r="E20" s="0" t="n">
        <v>22.406</v>
      </c>
      <c r="F20" s="0" t="n">
        <v>21.92278</v>
      </c>
      <c r="G20" s="0" t="n">
        <v>21.73913</v>
      </c>
      <c r="H20" s="0" t="n">
        <v>22.52306</v>
      </c>
      <c r="I20" s="0" t="n">
        <v>22.28915</v>
      </c>
      <c r="J20" s="0" t="n">
        <v>22.39223</v>
      </c>
      <c r="K20" s="0" t="n">
        <v>22.17664</v>
      </c>
      <c r="L20" s="0" t="n">
        <v>21.52664</v>
      </c>
      <c r="M20" s="0" t="n">
        <v>20.84</v>
      </c>
      <c r="N20" s="0" t="n">
        <v>20.33865</v>
      </c>
      <c r="O20" s="0" t="n">
        <v>20.61414</v>
      </c>
      <c r="P20" s="0" t="n">
        <v>22.05321</v>
      </c>
      <c r="Q20" s="0" t="n">
        <v>21.0476</v>
      </c>
      <c r="R20" s="0" t="n">
        <v>21.95784</v>
      </c>
      <c r="S20" s="0" t="n">
        <v>23.01447</v>
      </c>
      <c r="T20" s="0" t="n">
        <v>22.43525</v>
      </c>
      <c r="U20" s="0" t="n">
        <v>22.25298</v>
      </c>
      <c r="V20" s="0" t="n">
        <v>22.66442</v>
      </c>
      <c r="W20" s="0" t="n">
        <v>21.89341</v>
      </c>
      <c r="X20" s="0" t="n">
        <v>23.24644</v>
      </c>
      <c r="Y20" s="0" t="n">
        <v>22.15814</v>
      </c>
      <c r="Z20" s="0" t="n">
        <v>22.11006</v>
      </c>
      <c r="AA20" s="0" t="n">
        <v>22.40671</v>
      </c>
      <c r="AB20" s="0" t="n">
        <v>23.16759</v>
      </c>
      <c r="AC20" s="0" t="n">
        <v>21.79812</v>
      </c>
      <c r="AD20" s="0" t="n">
        <v>22.96739</v>
      </c>
      <c r="AE20" s="0" t="n">
        <f aca="false">_xlfn.T.TEST(D20:J20,K20:W20,1,2)</f>
        <v>0.123630992747617</v>
      </c>
      <c r="AF20" s="4" t="n">
        <f aca="false">_xlfn.T.TEST(K20:W20,X20:AD20,1,2)</f>
        <v>0.0181126850413419</v>
      </c>
      <c r="AG20" s="0" t="n">
        <f aca="false">_xlfn.T.TEST(D20:J20,X20:AD20,1,2)</f>
        <v>0.0664425084454074</v>
      </c>
      <c r="AH20" s="0" t="n">
        <v>0.104025682740539</v>
      </c>
    </row>
    <row r="21" customFormat="false" ht="15" hidden="false" customHeight="false" outlineLevel="0" collapsed="false">
      <c r="A21" s="0" t="s">
        <v>397</v>
      </c>
      <c r="B21" s="0" t="s">
        <v>395</v>
      </c>
      <c r="C21" s="0" t="s">
        <v>396</v>
      </c>
      <c r="D21" s="0" t="n">
        <v>21.97197</v>
      </c>
      <c r="E21" s="0" t="n">
        <v>22.17329</v>
      </c>
      <c r="F21" s="0" t="n">
        <v>22.40901</v>
      </c>
      <c r="G21" s="0" t="n">
        <v>22.33451</v>
      </c>
      <c r="H21" s="0" t="n">
        <v>22.5644</v>
      </c>
      <c r="I21" s="0" t="n">
        <v>22.62723</v>
      </c>
      <c r="J21" s="0" t="n">
        <v>22.15755</v>
      </c>
      <c r="K21" s="0" t="n">
        <v>21.64522</v>
      </c>
      <c r="L21" s="0" t="n">
        <v>22.24818</v>
      </c>
      <c r="M21" s="0" t="n">
        <v>22.93837</v>
      </c>
      <c r="N21" s="0" t="n">
        <v>21.90665</v>
      </c>
      <c r="O21" s="0" t="n">
        <v>22.64926</v>
      </c>
      <c r="P21" s="0" t="n">
        <v>22.10409</v>
      </c>
      <c r="Q21" s="0" t="n">
        <v>22.1283</v>
      </c>
      <c r="R21" s="0" t="n">
        <v>22.48358</v>
      </c>
      <c r="S21" s="0" t="n">
        <v>21.96258</v>
      </c>
      <c r="T21" s="0" t="n">
        <v>22.17539</v>
      </c>
      <c r="U21" s="0" t="n">
        <v>22.05086</v>
      </c>
      <c r="V21" s="0" t="n">
        <v>22.29541</v>
      </c>
      <c r="W21" s="0" t="n">
        <v>22.22682</v>
      </c>
      <c r="X21" s="0" t="n">
        <v>22.4938</v>
      </c>
      <c r="Y21" s="0" t="n">
        <v>22.51396</v>
      </c>
      <c r="Z21" s="0" t="n">
        <v>22.37162</v>
      </c>
      <c r="AA21" s="0" t="n">
        <v>22.48134</v>
      </c>
      <c r="AB21" s="0" t="n">
        <v>22.5106</v>
      </c>
      <c r="AC21" s="0" t="n">
        <v>22.70841</v>
      </c>
      <c r="AD21" s="0" t="n">
        <v>22.64889</v>
      </c>
      <c r="AE21" s="0" t="n">
        <f aca="false">_xlfn.T.TEST(D21:J21,K21:W21,1,2)</f>
        <v>0.238591605676444</v>
      </c>
      <c r="AF21" s="4" t="n">
        <f aca="false">_xlfn.T.TEST(K21:W21,X21:AD21,1,2)</f>
        <v>0.0131849833020118</v>
      </c>
      <c r="AG21" s="4" t="n">
        <f aca="false">_xlfn.T.TEST(D21:J21,X21:AD21,1,2)</f>
        <v>0.0256573070106042</v>
      </c>
      <c r="AH21" s="0" t="n">
        <v>0.110431900394034</v>
      </c>
    </row>
    <row r="22" customFormat="false" ht="15" hidden="false" customHeight="false" outlineLevel="0" collapsed="false">
      <c r="A22" s="0" t="s">
        <v>188</v>
      </c>
      <c r="B22" s="0" t="s">
        <v>186</v>
      </c>
      <c r="C22" s="0" t="s">
        <v>187</v>
      </c>
      <c r="D22" s="0" t="n">
        <v>18.71482</v>
      </c>
      <c r="E22" s="0" t="n">
        <v>18.62325</v>
      </c>
      <c r="F22" s="0" t="n">
        <v>20.45503</v>
      </c>
      <c r="G22" s="0" t="n">
        <v>18.82258</v>
      </c>
      <c r="H22" s="0" t="n">
        <v>18.92164</v>
      </c>
      <c r="I22" s="0" t="n">
        <v>19.92687</v>
      </c>
      <c r="J22" s="0" t="n">
        <v>18.66518</v>
      </c>
      <c r="K22" s="0" t="n">
        <v>19.01789</v>
      </c>
      <c r="L22" s="0" t="n">
        <v>21.06986</v>
      </c>
      <c r="M22" s="0" t="n">
        <v>19.72066</v>
      </c>
      <c r="N22" s="0" t="n">
        <v>18.51368</v>
      </c>
      <c r="O22" s="0" t="n">
        <v>18.14818</v>
      </c>
      <c r="P22" s="0" t="n">
        <v>19.94678</v>
      </c>
      <c r="Q22" s="0" t="n">
        <v>19.09244</v>
      </c>
      <c r="R22" s="0" t="n">
        <v>18.1335</v>
      </c>
      <c r="S22" s="0" t="n">
        <v>19.05632</v>
      </c>
      <c r="T22" s="0" t="n">
        <v>18.76636</v>
      </c>
      <c r="U22" s="0" t="n">
        <v>19.80958</v>
      </c>
      <c r="V22" s="0" t="n">
        <v>19.13611</v>
      </c>
      <c r="W22" s="0" t="n">
        <v>19.81774</v>
      </c>
      <c r="X22" s="0" t="n">
        <v>20.2105</v>
      </c>
      <c r="Y22" s="0" t="n">
        <v>18.67097</v>
      </c>
      <c r="Z22" s="0" t="n">
        <v>20.26671</v>
      </c>
      <c r="AA22" s="0" t="n">
        <v>20.35434</v>
      </c>
      <c r="AB22" s="0" t="n">
        <v>20.16582</v>
      </c>
      <c r="AC22" s="0" t="n">
        <v>20.26408</v>
      </c>
      <c r="AD22" s="0" t="n">
        <v>18.9611</v>
      </c>
      <c r="AE22" s="0" t="n">
        <f aca="false">_xlfn.T.TEST(D22:J22,K22:W22,1,2)</f>
        <v>0.408223329967877</v>
      </c>
      <c r="AF22" s="0" t="n">
        <f aca="false">_xlfn.T.TEST(K22:W22,X22:AD22,1,2)</f>
        <v>0.0615896383041231</v>
      </c>
      <c r="AG22" s="0" t="n">
        <f aca="false">_xlfn.T.TEST(D22:J22,X22:AD22,1,2)</f>
        <v>0.0506356028228485</v>
      </c>
      <c r="AH22" s="0" t="n">
        <v>0.11283221287385</v>
      </c>
    </row>
    <row r="23" customFormat="false" ht="15" hidden="false" customHeight="false" outlineLevel="0" collapsed="false">
      <c r="A23" s="0" t="s">
        <v>337</v>
      </c>
      <c r="B23" s="0" t="s">
        <v>335</v>
      </c>
      <c r="C23" s="0" t="s">
        <v>336</v>
      </c>
      <c r="D23" s="0" t="n">
        <v>23.4051</v>
      </c>
      <c r="E23" s="0" t="n">
        <v>23.71712</v>
      </c>
      <c r="F23" s="0" t="n">
        <v>23.93256</v>
      </c>
      <c r="G23" s="0" t="n">
        <v>23.21614</v>
      </c>
      <c r="H23" s="0" t="n">
        <v>23.63123</v>
      </c>
      <c r="I23" s="0" t="n">
        <v>23.49777</v>
      </c>
      <c r="J23" s="0" t="n">
        <v>23.23631</v>
      </c>
      <c r="K23" s="0" t="n">
        <v>24.27789</v>
      </c>
      <c r="L23" s="0" t="n">
        <v>23.38087</v>
      </c>
      <c r="M23" s="0" t="n">
        <v>24.29235</v>
      </c>
      <c r="N23" s="0" t="n">
        <v>23.51593</v>
      </c>
      <c r="O23" s="0" t="n">
        <v>23.25782</v>
      </c>
      <c r="P23" s="0" t="n">
        <v>23.63522</v>
      </c>
      <c r="Q23" s="0" t="n">
        <v>24.67853</v>
      </c>
      <c r="R23" s="0" t="n">
        <v>23.87427</v>
      </c>
      <c r="S23" s="0" t="n">
        <v>23.73614</v>
      </c>
      <c r="T23" s="0" t="n">
        <v>23.453</v>
      </c>
      <c r="U23" s="0" t="n">
        <v>23.90353</v>
      </c>
      <c r="V23" s="0" t="n">
        <v>23.79074</v>
      </c>
      <c r="W23" s="0" t="n">
        <v>24.13806</v>
      </c>
      <c r="X23" s="0" t="n">
        <v>24.03053</v>
      </c>
      <c r="Y23" s="0" t="n">
        <v>23.59012</v>
      </c>
      <c r="Z23" s="0" t="n">
        <v>23.99697</v>
      </c>
      <c r="AA23" s="0" t="n">
        <v>24.1529</v>
      </c>
      <c r="AB23" s="0" t="n">
        <v>23.34055</v>
      </c>
      <c r="AC23" s="0" t="n">
        <v>24.24213</v>
      </c>
      <c r="AD23" s="0" t="n">
        <v>23.74212</v>
      </c>
      <c r="AE23" s="4" t="n">
        <f aca="false">_xlfn.T.TEST(D23:J23,K23:W23,1,2)</f>
        <v>0.0399926623812444</v>
      </c>
      <c r="AF23" s="0" t="n">
        <f aca="false">_xlfn.T.TEST(K23:W23,X23:AD23,1,2)</f>
        <v>0.435903857952203</v>
      </c>
      <c r="AG23" s="4" t="n">
        <f aca="false">_xlfn.T.TEST(D23:J23,X23:AD23,1,2)</f>
        <v>0.0228512202460342</v>
      </c>
      <c r="AH23" s="0" t="n">
        <v>0.131230406851631</v>
      </c>
    </row>
    <row r="24" customFormat="false" ht="15" hidden="false" customHeight="false" outlineLevel="0" collapsed="false">
      <c r="A24" s="0" t="s">
        <v>355</v>
      </c>
      <c r="B24" s="0" t="s">
        <v>353</v>
      </c>
      <c r="C24" s="0" t="s">
        <v>354</v>
      </c>
      <c r="D24" s="0" t="n">
        <v>19.23582</v>
      </c>
      <c r="E24" s="0" t="n">
        <v>19.30247</v>
      </c>
      <c r="F24" s="0" t="n">
        <v>21.40561</v>
      </c>
      <c r="G24" s="0" t="n">
        <v>19.54958</v>
      </c>
      <c r="H24" s="0" t="n">
        <v>19.08672</v>
      </c>
      <c r="I24" s="0" t="n">
        <v>19.52396</v>
      </c>
      <c r="J24" s="0" t="n">
        <v>19.82627</v>
      </c>
      <c r="K24" s="0" t="n">
        <v>19.04793</v>
      </c>
      <c r="L24" s="0" t="n">
        <v>20.71137</v>
      </c>
      <c r="M24" s="0" t="n">
        <v>20.99155</v>
      </c>
      <c r="N24" s="0" t="n">
        <v>20.21169</v>
      </c>
      <c r="O24" s="0" t="n">
        <v>19.9402</v>
      </c>
      <c r="P24" s="0" t="n">
        <v>18.12787</v>
      </c>
      <c r="Q24" s="0" t="n">
        <v>23.1207</v>
      </c>
      <c r="R24" s="0" t="n">
        <v>20.80774</v>
      </c>
      <c r="S24" s="0" t="n">
        <v>19.02969</v>
      </c>
      <c r="T24" s="0" t="n">
        <v>19.39528</v>
      </c>
      <c r="U24" s="0" t="n">
        <v>19.27242</v>
      </c>
      <c r="V24" s="0" t="n">
        <v>19.64135</v>
      </c>
      <c r="W24" s="0" t="n">
        <v>19.67275</v>
      </c>
      <c r="X24" s="0" t="n">
        <v>19.4521</v>
      </c>
      <c r="Y24" s="0" t="n">
        <v>19.06329</v>
      </c>
      <c r="Z24" s="0" t="n">
        <v>18.96531</v>
      </c>
      <c r="AA24" s="0" t="n">
        <v>18.52929</v>
      </c>
      <c r="AB24" s="0" t="n">
        <v>18.68815</v>
      </c>
      <c r="AC24" s="0" t="n">
        <v>19.17553</v>
      </c>
      <c r="AD24" s="0" t="n">
        <v>18.4309</v>
      </c>
      <c r="AE24" s="0" t="n">
        <f aca="false">_xlfn.T.TEST(D24:J24,K24:W24,1,2)</f>
        <v>0.289766383012676</v>
      </c>
      <c r="AF24" s="4" t="n">
        <f aca="false">_xlfn.T.TEST(K24:W24,X24:AD24,1,2)</f>
        <v>0.0180707873137121</v>
      </c>
      <c r="AG24" s="4" t="n">
        <f aca="false">_xlfn.T.TEST(D24:J24,X24:AD24,1,2)</f>
        <v>0.0154680586671721</v>
      </c>
      <c r="AH24" s="0" t="n">
        <v>0.138028753682871</v>
      </c>
    </row>
    <row r="25" customFormat="false" ht="15" hidden="false" customHeight="false" outlineLevel="0" collapsed="false">
      <c r="A25" s="0" t="s">
        <v>449</v>
      </c>
      <c r="B25" s="0" t="s">
        <v>447</v>
      </c>
      <c r="C25" s="0" t="s">
        <v>448</v>
      </c>
      <c r="D25" s="0" t="n">
        <v>15.32372</v>
      </c>
      <c r="E25" s="0" t="n">
        <v>14.51039</v>
      </c>
      <c r="F25" s="0" t="n">
        <v>14.95665</v>
      </c>
      <c r="G25" s="0" t="n">
        <v>13.45529</v>
      </c>
      <c r="H25" s="0" t="n">
        <v>16.59731</v>
      </c>
      <c r="I25" s="0" t="n">
        <v>16.37533</v>
      </c>
      <c r="J25" s="0" t="n">
        <v>12.6089</v>
      </c>
      <c r="K25" s="0" t="n">
        <v>16.73516</v>
      </c>
      <c r="L25" s="0" t="n">
        <v>15.78023</v>
      </c>
      <c r="M25" s="0" t="n">
        <v>14.33155</v>
      </c>
      <c r="N25" s="0" t="n">
        <v>21.14582</v>
      </c>
      <c r="O25" s="0" t="n">
        <v>20.53763</v>
      </c>
      <c r="P25" s="0" t="n">
        <v>18.92268</v>
      </c>
      <c r="Q25" s="0" t="n">
        <v>15.27583</v>
      </c>
      <c r="R25" s="0" t="n">
        <v>12.71984</v>
      </c>
      <c r="S25" s="0" t="n">
        <v>18.4853</v>
      </c>
      <c r="T25" s="0" t="n">
        <v>18.30113</v>
      </c>
      <c r="U25" s="0" t="n">
        <v>18.10482</v>
      </c>
      <c r="V25" s="0" t="n">
        <v>17.57688</v>
      </c>
      <c r="W25" s="0" t="n">
        <v>15.51856</v>
      </c>
      <c r="X25" s="0" t="n">
        <v>16.55499</v>
      </c>
      <c r="Y25" s="0" t="n">
        <v>21.98384</v>
      </c>
      <c r="Z25" s="0" t="n">
        <v>13.80312</v>
      </c>
      <c r="AA25" s="0" t="n">
        <v>17.69534</v>
      </c>
      <c r="AB25" s="0" t="n">
        <v>13.65765</v>
      </c>
      <c r="AC25" s="0" t="n">
        <v>13.91933</v>
      </c>
      <c r="AD25" s="0" t="n">
        <v>15.99612</v>
      </c>
      <c r="AE25" s="4" t="n">
        <f aca="false">_xlfn.T.TEST(D25:J25,K25:W25,1,2)</f>
        <v>0.0156439781917204</v>
      </c>
      <c r="AF25" s="0" t="n">
        <f aca="false">_xlfn.T.TEST(K25:W25,X25:AD25,1,2)</f>
        <v>0.223180421022815</v>
      </c>
      <c r="AG25" s="0" t="n">
        <f aca="false">_xlfn.T.TEST(D25:J25,X25:AD25,1,2)</f>
        <v>0.143296079373066</v>
      </c>
      <c r="AH25" s="0" t="n">
        <v>0.14170564874955</v>
      </c>
    </row>
    <row r="26" customFormat="false" ht="15" hidden="false" customHeight="false" outlineLevel="0" collapsed="false">
      <c r="A26" s="0" t="s">
        <v>323</v>
      </c>
      <c r="B26" s="0" t="s">
        <v>321</v>
      </c>
      <c r="C26" s="0" t="s">
        <v>322</v>
      </c>
      <c r="D26" s="0" t="n">
        <v>23.59423</v>
      </c>
      <c r="E26" s="0" t="n">
        <v>23.536</v>
      </c>
      <c r="F26" s="0" t="n">
        <v>23.93643</v>
      </c>
      <c r="G26" s="0" t="n">
        <v>23.5248</v>
      </c>
      <c r="H26" s="0" t="n">
        <v>23.61852</v>
      </c>
      <c r="I26" s="0" t="n">
        <v>23.83123</v>
      </c>
      <c r="J26" s="0" t="n">
        <v>22.98944</v>
      </c>
      <c r="K26" s="0" t="n">
        <v>23.45776</v>
      </c>
      <c r="L26" s="0" t="n">
        <v>23.44152</v>
      </c>
      <c r="M26" s="0" t="n">
        <v>23.63677</v>
      </c>
      <c r="N26" s="0" t="n">
        <v>22.63646</v>
      </c>
      <c r="O26" s="0" t="n">
        <v>23.22932</v>
      </c>
      <c r="P26" s="0" t="n">
        <v>23.33497</v>
      </c>
      <c r="Q26" s="0" t="n">
        <v>24.39539</v>
      </c>
      <c r="R26" s="0" t="n">
        <v>23.80656</v>
      </c>
      <c r="S26" s="0" t="n">
        <v>23.37796</v>
      </c>
      <c r="T26" s="0" t="n">
        <v>23.93993</v>
      </c>
      <c r="U26" s="0" t="n">
        <v>23.171</v>
      </c>
      <c r="V26" s="0" t="n">
        <v>23.2939</v>
      </c>
      <c r="W26" s="0" t="n">
        <v>23.60377</v>
      </c>
      <c r="X26" s="0" t="n">
        <v>23.55684</v>
      </c>
      <c r="Y26" s="0" t="n">
        <v>22.67532</v>
      </c>
      <c r="Z26" s="0" t="n">
        <v>23.13297</v>
      </c>
      <c r="AA26" s="0" t="n">
        <v>23.00137</v>
      </c>
      <c r="AB26" s="0" t="n">
        <v>23.26227</v>
      </c>
      <c r="AC26" s="0" t="n">
        <v>23.46849</v>
      </c>
      <c r="AD26" s="0" t="n">
        <v>22.87245</v>
      </c>
      <c r="AE26" s="0" t="n">
        <f aca="false">_xlfn.T.TEST(D26:J26,K26:W26,1,2)</f>
        <v>0.313827713403418</v>
      </c>
      <c r="AF26" s="4" t="n">
        <f aca="false">_xlfn.T.TEST(K26:W26,X26:AD26,1,2)</f>
        <v>0.036518133441125</v>
      </c>
      <c r="AG26" s="4" t="n">
        <f aca="false">_xlfn.T.TEST(D26:J26,X26:AD26,1,2)</f>
        <v>0.0107086978643761</v>
      </c>
      <c r="AH26" s="0" t="n">
        <v>0.159410857086966</v>
      </c>
    </row>
    <row r="27" customFormat="false" ht="15" hidden="false" customHeight="false" outlineLevel="0" collapsed="false">
      <c r="A27" s="0" t="s">
        <v>382</v>
      </c>
      <c r="B27" s="0" t="s">
        <v>380</v>
      </c>
      <c r="C27" s="0" t="s">
        <v>381</v>
      </c>
      <c r="D27" s="0" t="n">
        <v>16.20149</v>
      </c>
      <c r="E27" s="0" t="n">
        <v>16.26224</v>
      </c>
      <c r="F27" s="0" t="n">
        <v>16.77483</v>
      </c>
      <c r="G27" s="0" t="n">
        <v>16.44121</v>
      </c>
      <c r="H27" s="0" t="n">
        <v>16.71585</v>
      </c>
      <c r="I27" s="0" t="n">
        <v>16.5448</v>
      </c>
      <c r="J27" s="0" t="n">
        <v>17.64343</v>
      </c>
      <c r="K27" s="0" t="n">
        <v>16.31308</v>
      </c>
      <c r="L27" s="0" t="n">
        <v>16.6851</v>
      </c>
      <c r="M27" s="0" t="n">
        <v>17.74944</v>
      </c>
      <c r="N27" s="0" t="n">
        <v>17.77538</v>
      </c>
      <c r="O27" s="0" t="n">
        <v>18.04655</v>
      </c>
      <c r="P27" s="0" t="n">
        <v>16.8129</v>
      </c>
      <c r="Q27" s="0" t="n">
        <v>17.27703</v>
      </c>
      <c r="R27" s="0" t="n">
        <v>18.48306</v>
      </c>
      <c r="S27" s="0" t="n">
        <v>16.4145</v>
      </c>
      <c r="T27" s="0" t="n">
        <v>16.74859</v>
      </c>
      <c r="U27" s="0" t="n">
        <v>16.17857</v>
      </c>
      <c r="V27" s="0" t="n">
        <v>16.42216</v>
      </c>
      <c r="W27" s="0" t="n">
        <v>16.48651</v>
      </c>
      <c r="X27" s="0" t="n">
        <v>17.43949</v>
      </c>
      <c r="Y27" s="0" t="n">
        <v>16.27132</v>
      </c>
      <c r="Z27" s="0" t="n">
        <v>17.62092</v>
      </c>
      <c r="AA27" s="0" t="n">
        <v>17.70286</v>
      </c>
      <c r="AB27" s="0" t="n">
        <v>17.85075</v>
      </c>
      <c r="AC27" s="0" t="n">
        <v>17.26114</v>
      </c>
      <c r="AD27" s="0" t="n">
        <v>18.12182</v>
      </c>
      <c r="AE27" s="0" t="n">
        <f aca="false">_xlfn.T.TEST(D27:J27,K27:W27,1,2)</f>
        <v>0.125727942350171</v>
      </c>
      <c r="AF27" s="0" t="n">
        <f aca="false">_xlfn.T.TEST(K27:W27,X27:AD27,1,2)</f>
        <v>0.101348890442013</v>
      </c>
      <c r="AG27" s="5" t="n">
        <f aca="false">_xlfn.T.TEST(D27:J27,X27:AD27,1,2)</f>
        <v>0.00807075780691973</v>
      </c>
      <c r="AH27" s="0" t="n">
        <v>0.174718786065365</v>
      </c>
    </row>
    <row r="28" customFormat="false" ht="15" hidden="false" customHeight="false" outlineLevel="0" collapsed="false">
      <c r="A28" s="0" t="s">
        <v>389</v>
      </c>
      <c r="B28" s="0" t="s">
        <v>387</v>
      </c>
      <c r="C28" s="0" t="s">
        <v>388</v>
      </c>
      <c r="D28" s="0" t="n">
        <v>17.62649</v>
      </c>
      <c r="E28" s="0" t="n">
        <v>18.19816</v>
      </c>
      <c r="F28" s="0" t="n">
        <v>17.79127</v>
      </c>
      <c r="G28" s="0" t="n">
        <v>18.47183</v>
      </c>
      <c r="H28" s="0" t="n">
        <v>18.51768</v>
      </c>
      <c r="I28" s="0" t="n">
        <v>18.22515</v>
      </c>
      <c r="J28" s="0" t="n">
        <v>17.46818</v>
      </c>
      <c r="K28" s="0" t="n">
        <v>17.9124</v>
      </c>
      <c r="L28" s="0" t="n">
        <v>18.54435</v>
      </c>
      <c r="M28" s="0" t="n">
        <v>19.03896</v>
      </c>
      <c r="N28" s="0" t="n">
        <v>15.82577</v>
      </c>
      <c r="O28" s="0" t="n">
        <v>17.20801</v>
      </c>
      <c r="P28" s="0" t="n">
        <v>18.53382</v>
      </c>
      <c r="Q28" s="0" t="n">
        <v>19.48638</v>
      </c>
      <c r="R28" s="0" t="n">
        <v>16.8825</v>
      </c>
      <c r="S28" s="0" t="n">
        <v>17.92515</v>
      </c>
      <c r="T28" s="0" t="n">
        <v>18.16992</v>
      </c>
      <c r="U28" s="0" t="n">
        <v>18.59467</v>
      </c>
      <c r="V28" s="0" t="n">
        <v>18.3107</v>
      </c>
      <c r="W28" s="0" t="n">
        <v>18.38132</v>
      </c>
      <c r="X28" s="0" t="n">
        <v>18.4433</v>
      </c>
      <c r="Y28" s="0" t="n">
        <v>18.19215</v>
      </c>
      <c r="Z28" s="0" t="n">
        <v>18.92141</v>
      </c>
      <c r="AA28" s="0" t="n">
        <v>19.03408</v>
      </c>
      <c r="AB28" s="0" t="n">
        <v>18.71112</v>
      </c>
      <c r="AC28" s="0" t="n">
        <v>19.0033</v>
      </c>
      <c r="AD28" s="0" t="n">
        <v>18.32246</v>
      </c>
      <c r="AE28" s="0" t="n">
        <f aca="false">_xlfn.T.TEST(D28:J28,K28:W28,1,2)</f>
        <v>0.479602546827075</v>
      </c>
      <c r="AF28" s="0" t="n">
        <f aca="false">_xlfn.T.TEST(K28:W28,X28:AD28,1,2)</f>
        <v>0.0658887334738905</v>
      </c>
      <c r="AG28" s="5" t="n">
        <f aca="false">_xlfn.T.TEST(D28:J28,X28:AD28,1,2)</f>
        <v>0.0051709471590067</v>
      </c>
      <c r="AH28" s="0" t="n">
        <v>0.181861012256203</v>
      </c>
    </row>
    <row r="29" customFormat="false" ht="15" hidden="false" customHeight="false" outlineLevel="0" collapsed="false">
      <c r="A29" s="0" t="s">
        <v>134</v>
      </c>
      <c r="B29" s="0" t="s">
        <v>132</v>
      </c>
      <c r="C29" s="0" t="s">
        <v>133</v>
      </c>
      <c r="D29" s="0" t="n">
        <v>16.96251</v>
      </c>
      <c r="E29" s="0" t="n">
        <v>15.6474</v>
      </c>
      <c r="F29" s="0" t="n">
        <v>16.36293</v>
      </c>
      <c r="G29" s="0" t="n">
        <v>16.06842</v>
      </c>
      <c r="H29" s="0" t="n">
        <v>16.47856</v>
      </c>
      <c r="I29" s="0" t="n">
        <v>16.61884</v>
      </c>
      <c r="J29" s="0" t="n">
        <v>17.40333</v>
      </c>
      <c r="K29" s="0" t="n">
        <v>16.12811</v>
      </c>
      <c r="L29" s="0" t="n">
        <v>16.74491</v>
      </c>
      <c r="M29" s="0" t="n">
        <v>17.06108</v>
      </c>
      <c r="N29" s="0" t="n">
        <v>17.12307</v>
      </c>
      <c r="O29" s="0" t="n">
        <v>19.09697</v>
      </c>
      <c r="P29" s="0" t="n">
        <v>15.7436</v>
      </c>
      <c r="Q29" s="0" t="n">
        <v>16.17713</v>
      </c>
      <c r="R29" s="0" t="n">
        <v>17.80612</v>
      </c>
      <c r="S29" s="0" t="n">
        <v>16.37103</v>
      </c>
      <c r="T29" s="0" t="n">
        <v>15.74531</v>
      </c>
      <c r="U29" s="0" t="n">
        <v>16.0411</v>
      </c>
      <c r="V29" s="0" t="n">
        <v>15.90452</v>
      </c>
      <c r="W29" s="0" t="n">
        <v>16.81903</v>
      </c>
      <c r="X29" s="0" t="n">
        <v>14.64135</v>
      </c>
      <c r="Y29" s="0" t="n">
        <v>17.13711</v>
      </c>
      <c r="Z29" s="0" t="n">
        <v>15.56084</v>
      </c>
      <c r="AA29" s="0" t="n">
        <v>15.61876</v>
      </c>
      <c r="AB29" s="0" t="n">
        <v>16.04097</v>
      </c>
      <c r="AC29" s="0" t="n">
        <v>16.29873</v>
      </c>
      <c r="AD29" s="0" t="n">
        <v>15.57406</v>
      </c>
      <c r="AE29" s="0" t="n">
        <f aca="false">_xlfn.T.TEST(D29:J29,K29:W29,1,2)</f>
        <v>0.338329070661532</v>
      </c>
      <c r="AF29" s="4" t="n">
        <f aca="false">_xlfn.T.TEST(K29:W29,X29:AD29,1,2)</f>
        <v>0.0311230810981589</v>
      </c>
      <c r="AG29" s="4" t="n">
        <f aca="false">_xlfn.T.TEST(D29:J29,X29:AD29,1,2)</f>
        <v>0.0455965039440992</v>
      </c>
      <c r="AH29" s="0" t="n">
        <v>0.18286227440437</v>
      </c>
    </row>
    <row r="30" customFormat="false" ht="15" hidden="false" customHeight="false" outlineLevel="0" collapsed="false">
      <c r="A30" s="0" t="s">
        <v>139</v>
      </c>
      <c r="B30" s="0" t="s">
        <v>137</v>
      </c>
      <c r="C30" s="0" t="s">
        <v>138</v>
      </c>
      <c r="D30" s="0" t="n">
        <v>17.9036</v>
      </c>
      <c r="E30" s="0" t="n">
        <v>17.99937</v>
      </c>
      <c r="F30" s="0" t="n">
        <v>18.41055</v>
      </c>
      <c r="G30" s="0" t="n">
        <v>18.24665</v>
      </c>
      <c r="H30" s="0" t="n">
        <v>18.56852</v>
      </c>
      <c r="I30" s="0" t="n">
        <v>18.96065</v>
      </c>
      <c r="J30" s="0" t="n">
        <v>18.019</v>
      </c>
      <c r="K30" s="0" t="n">
        <v>18.90304</v>
      </c>
      <c r="L30" s="0" t="n">
        <v>18.38385</v>
      </c>
      <c r="M30" s="0" t="n">
        <v>18.88136</v>
      </c>
      <c r="N30" s="0" t="n">
        <v>17.18513</v>
      </c>
      <c r="O30" s="0" t="n">
        <v>17.44912</v>
      </c>
      <c r="P30" s="0" t="n">
        <v>18.63062</v>
      </c>
      <c r="Q30" s="0" t="n">
        <v>19.42675</v>
      </c>
      <c r="R30" s="0" t="n">
        <v>18.3753</v>
      </c>
      <c r="S30" s="0" t="n">
        <v>18.32474</v>
      </c>
      <c r="T30" s="0" t="n">
        <v>18.74944</v>
      </c>
      <c r="U30" s="0" t="n">
        <v>18.53169</v>
      </c>
      <c r="V30" s="0" t="n">
        <v>18.9861</v>
      </c>
      <c r="W30" s="0" t="n">
        <v>18.86348</v>
      </c>
      <c r="X30" s="0" t="n">
        <v>18.76325</v>
      </c>
      <c r="Y30" s="0" t="n">
        <v>19.03869</v>
      </c>
      <c r="Z30" s="0" t="n">
        <v>18.40715</v>
      </c>
      <c r="AA30" s="0" t="n">
        <v>18.57093</v>
      </c>
      <c r="AB30" s="0" t="n">
        <v>19.1775</v>
      </c>
      <c r="AC30" s="0" t="n">
        <v>19.03158</v>
      </c>
      <c r="AD30" s="0" t="n">
        <v>19.60462</v>
      </c>
      <c r="AE30" s="0" t="n">
        <f aca="false">_xlfn.T.TEST(D30:J30,K30:W30,1,2)</f>
        <v>0.207391580063613</v>
      </c>
      <c r="AF30" s="0" t="n">
        <f aca="false">_xlfn.T.TEST(K30:W30,X30:AD30,1,2)</f>
        <v>0.0578420603940608</v>
      </c>
      <c r="AG30" s="5" t="n">
        <f aca="false">_xlfn.T.TEST(D30:J30,X30:AD30,1,2)</f>
        <v>0.00476807146742647</v>
      </c>
      <c r="AH30" s="0" t="n">
        <v>0.186070977441263</v>
      </c>
    </row>
    <row r="31" customFormat="false" ht="15" hidden="false" customHeight="false" outlineLevel="0" collapsed="false">
      <c r="A31" s="0" t="s">
        <v>220</v>
      </c>
      <c r="B31" s="0" t="s">
        <v>218</v>
      </c>
      <c r="C31" s="0" t="s">
        <v>219</v>
      </c>
      <c r="D31" s="0" t="n">
        <v>21.24516</v>
      </c>
      <c r="E31" s="0" t="n">
        <v>21.07673</v>
      </c>
      <c r="F31" s="0" t="n">
        <v>21.26917</v>
      </c>
      <c r="G31" s="0" t="n">
        <v>20.79241</v>
      </c>
      <c r="H31" s="0" t="n">
        <v>21.66497</v>
      </c>
      <c r="I31" s="0" t="n">
        <v>21.93002</v>
      </c>
      <c r="J31" s="0" t="n">
        <v>20.56365</v>
      </c>
      <c r="K31" s="0" t="n">
        <v>21.26453</v>
      </c>
      <c r="L31" s="0" t="n">
        <v>21.7866</v>
      </c>
      <c r="M31" s="0" t="n">
        <v>20.97365</v>
      </c>
      <c r="N31" s="0" t="n">
        <v>21.01093</v>
      </c>
      <c r="O31" s="0" t="n">
        <v>20.7679</v>
      </c>
      <c r="P31" s="0" t="n">
        <v>21.75479</v>
      </c>
      <c r="Q31" s="0" t="n">
        <v>21.93171</v>
      </c>
      <c r="R31" s="0" t="n">
        <v>20.78437</v>
      </c>
      <c r="S31" s="0" t="n">
        <v>21.26276</v>
      </c>
      <c r="T31" s="0" t="n">
        <v>21.73855</v>
      </c>
      <c r="U31" s="0" t="n">
        <v>21.51278</v>
      </c>
      <c r="V31" s="0" t="n">
        <v>21.42864</v>
      </c>
      <c r="W31" s="0" t="n">
        <v>21.36586</v>
      </c>
      <c r="X31" s="0" t="n">
        <v>22.48289</v>
      </c>
      <c r="Y31" s="0" t="n">
        <v>20.65918</v>
      </c>
      <c r="Z31" s="0" t="n">
        <v>21.64852</v>
      </c>
      <c r="AA31" s="0" t="n">
        <v>21.4938</v>
      </c>
      <c r="AB31" s="0" t="n">
        <v>22.09552</v>
      </c>
      <c r="AC31" s="0" t="n">
        <v>21.82213</v>
      </c>
      <c r="AD31" s="0" t="n">
        <v>21.22535</v>
      </c>
      <c r="AE31" s="0" t="n">
        <f aca="false">_xlfn.T.TEST(D31:J31,K31:W31,1,2)</f>
        <v>0.254219762833943</v>
      </c>
      <c r="AF31" s="0" t="n">
        <f aca="false">_xlfn.T.TEST(K31:W31,X31:AD31,1,2)</f>
        <v>0.10827835920316</v>
      </c>
      <c r="AG31" s="0" t="n">
        <f aca="false">_xlfn.T.TEST(D31:J31,X31:AD31,1,2)</f>
        <v>0.0878461959296607</v>
      </c>
      <c r="AH31" s="0" t="n">
        <v>0.186166218539244</v>
      </c>
    </row>
    <row r="32" customFormat="false" ht="15" hidden="false" customHeight="false" outlineLevel="0" collapsed="false">
      <c r="A32" s="0" t="s">
        <v>408</v>
      </c>
      <c r="B32" s="0" t="s">
        <v>406</v>
      </c>
      <c r="C32" s="0" t="s">
        <v>407</v>
      </c>
      <c r="D32" s="0" t="n">
        <v>18.58699</v>
      </c>
      <c r="E32" s="0" t="n">
        <v>18.25331</v>
      </c>
      <c r="F32" s="0" t="n">
        <v>18.39028</v>
      </c>
      <c r="G32" s="0" t="n">
        <v>18.51918</v>
      </c>
      <c r="H32" s="0" t="n">
        <v>19.53056</v>
      </c>
      <c r="I32" s="0" t="n">
        <v>19.07243</v>
      </c>
      <c r="J32" s="0" t="n">
        <v>17.79329</v>
      </c>
      <c r="K32" s="0" t="n">
        <v>18.64867</v>
      </c>
      <c r="L32" s="0" t="n">
        <v>18.41584</v>
      </c>
      <c r="M32" s="0" t="n">
        <v>15.99429</v>
      </c>
      <c r="N32" s="0" t="n">
        <v>16.27852</v>
      </c>
      <c r="O32" s="0" t="n">
        <v>17.19075</v>
      </c>
      <c r="P32" s="0" t="n">
        <v>17.11837</v>
      </c>
      <c r="Q32" s="0" t="n">
        <v>18.35544</v>
      </c>
      <c r="R32" s="0" t="n">
        <v>17.65788</v>
      </c>
      <c r="S32" s="0" t="n">
        <v>18.67332</v>
      </c>
      <c r="T32" s="0" t="n">
        <v>18.93718</v>
      </c>
      <c r="U32" s="0" t="n">
        <v>19.03115</v>
      </c>
      <c r="V32" s="0" t="n">
        <v>18.68692</v>
      </c>
      <c r="W32" s="0" t="n">
        <v>18.42185</v>
      </c>
      <c r="X32" s="0" t="n">
        <v>17.91357</v>
      </c>
      <c r="Y32" s="0" t="n">
        <v>17.06213</v>
      </c>
      <c r="Z32" s="0" t="n">
        <v>19.24088</v>
      </c>
      <c r="AA32" s="0" t="n">
        <v>18.74652</v>
      </c>
      <c r="AB32" s="0" t="n">
        <v>19.26531</v>
      </c>
      <c r="AC32" s="0" t="n">
        <v>19.72296</v>
      </c>
      <c r="AD32" s="0" t="n">
        <v>19.25815</v>
      </c>
      <c r="AE32" s="0" t="n">
        <f aca="false">_xlfn.T.TEST(D32:J32,K32:W32,1,2)</f>
        <v>0.0714221997885337</v>
      </c>
      <c r="AF32" s="0" t="n">
        <f aca="false">_xlfn.T.TEST(K32:W32,X32:AD32,1,2)</f>
        <v>0.0525523460168454</v>
      </c>
      <c r="AG32" s="0" t="n">
        <f aca="false">_xlfn.T.TEST(D32:J32,X32:AD32,1,2)</f>
        <v>0.359749854463885</v>
      </c>
      <c r="AH32" s="0" t="n">
        <v>0.195630323299178</v>
      </c>
    </row>
    <row r="33" customFormat="false" ht="15" hidden="false" customHeight="false" outlineLevel="0" collapsed="false">
      <c r="A33" s="0" t="s">
        <v>423</v>
      </c>
      <c r="B33" s="0" t="s">
        <v>421</v>
      </c>
      <c r="C33" s="0" t="s">
        <v>422</v>
      </c>
      <c r="D33" s="0" t="n">
        <v>20.60159</v>
      </c>
      <c r="E33" s="0" t="n">
        <v>20.8578</v>
      </c>
      <c r="F33" s="0" t="n">
        <v>21.23316</v>
      </c>
      <c r="G33" s="0" t="n">
        <v>21.76255</v>
      </c>
      <c r="H33" s="0" t="n">
        <v>21.02513</v>
      </c>
      <c r="I33" s="0" t="n">
        <v>21.01134</v>
      </c>
      <c r="J33" s="0" t="n">
        <v>20.42726</v>
      </c>
      <c r="K33" s="0" t="n">
        <v>20.94578</v>
      </c>
      <c r="L33" s="0" t="n">
        <v>20.98635</v>
      </c>
      <c r="M33" s="0" t="n">
        <v>21.71574</v>
      </c>
      <c r="N33" s="0" t="n">
        <v>21.04313</v>
      </c>
      <c r="O33" s="0" t="n">
        <v>20.8717</v>
      </c>
      <c r="P33" s="0" t="n">
        <v>20.99886</v>
      </c>
      <c r="Q33" s="0" t="n">
        <v>17.26453</v>
      </c>
      <c r="R33" s="0" t="n">
        <v>21.81515</v>
      </c>
      <c r="S33" s="0" t="n">
        <v>20.84053</v>
      </c>
      <c r="T33" s="0" t="n">
        <v>20.69439</v>
      </c>
      <c r="U33" s="0" t="n">
        <v>20.45523</v>
      </c>
      <c r="V33" s="0" t="n">
        <v>20.80625</v>
      </c>
      <c r="W33" s="0" t="n">
        <v>21.10942</v>
      </c>
      <c r="X33" s="0" t="n">
        <v>21.45036</v>
      </c>
      <c r="Y33" s="0" t="n">
        <v>21.79891</v>
      </c>
      <c r="Z33" s="0" t="n">
        <v>21.30145</v>
      </c>
      <c r="AA33" s="0" t="n">
        <v>21.42157</v>
      </c>
      <c r="AB33" s="0" t="n">
        <v>21.39305</v>
      </c>
      <c r="AC33" s="0" t="n">
        <v>21.64619</v>
      </c>
      <c r="AD33" s="0" t="n">
        <v>21.43206</v>
      </c>
      <c r="AE33" s="0" t="n">
        <f aca="false">_xlfn.T.TEST(D33:J33,K33:W33,1,2)</f>
        <v>0.285361656858465</v>
      </c>
      <c r="AF33" s="4" t="n">
        <f aca="false">_xlfn.T.TEST(K33:W33,X33:AD33,1,2)</f>
        <v>0.0461836908115241</v>
      </c>
      <c r="AG33" s="5" t="n">
        <f aca="false">_xlfn.T.TEST(D33:J33,X33:AD33,1,2)</f>
        <v>0.00739927534156278</v>
      </c>
      <c r="AH33" s="0" t="n">
        <v>0.198293319464364</v>
      </c>
    </row>
    <row r="34" customFormat="false" ht="15" hidden="false" customHeight="false" outlineLevel="0" collapsed="false">
      <c r="A34" s="0" t="s">
        <v>370</v>
      </c>
      <c r="B34" s="0" t="s">
        <v>368</v>
      </c>
      <c r="C34" s="0" t="s">
        <v>369</v>
      </c>
      <c r="D34" s="0" t="n">
        <v>16.0111</v>
      </c>
      <c r="E34" s="0" t="n">
        <v>16.82799</v>
      </c>
      <c r="F34" s="0" t="n">
        <v>16.42028</v>
      </c>
      <c r="G34" s="0" t="n">
        <v>16.33703</v>
      </c>
      <c r="H34" s="0" t="n">
        <v>16.45189</v>
      </c>
      <c r="I34" s="0" t="n">
        <v>16.58939</v>
      </c>
      <c r="J34" s="0" t="n">
        <v>16.15284</v>
      </c>
      <c r="K34" s="0" t="n">
        <v>16.54447</v>
      </c>
      <c r="L34" s="0" t="n">
        <v>16.22485</v>
      </c>
      <c r="M34" s="0" t="n">
        <v>16.57512</v>
      </c>
      <c r="N34" s="0" t="n">
        <v>17.31855</v>
      </c>
      <c r="O34" s="0" t="n">
        <v>16.26827</v>
      </c>
      <c r="P34" s="0" t="n">
        <v>16.53682</v>
      </c>
      <c r="Q34" s="0" t="n">
        <v>17.68408</v>
      </c>
      <c r="R34" s="0" t="n">
        <v>16.1872</v>
      </c>
      <c r="S34" s="0" t="n">
        <v>16.61439</v>
      </c>
      <c r="T34" s="0" t="n">
        <v>16.96296</v>
      </c>
      <c r="U34" s="0" t="n">
        <v>16.47002</v>
      </c>
      <c r="V34" s="0" t="n">
        <v>16.0956</v>
      </c>
      <c r="W34" s="0" t="n">
        <v>16.51143</v>
      </c>
      <c r="X34" s="0" t="n">
        <v>15.60322</v>
      </c>
      <c r="Y34" s="0" t="n">
        <v>16.64202</v>
      </c>
      <c r="Z34" s="0" t="n">
        <v>16.56254</v>
      </c>
      <c r="AA34" s="0" t="n">
        <v>18.69636</v>
      </c>
      <c r="AB34" s="0" t="n">
        <v>17.71827</v>
      </c>
      <c r="AC34" s="0" t="n">
        <v>16.91684</v>
      </c>
      <c r="AD34" s="0" t="n">
        <v>17.70725</v>
      </c>
      <c r="AE34" s="0" t="n">
        <f aca="false">_xlfn.T.TEST(D34:J34,K34:W34,1,2)</f>
        <v>0.135388833387497</v>
      </c>
      <c r="AF34" s="0" t="n">
        <f aca="false">_xlfn.T.TEST(K34:W34,X34:AD34,1,2)</f>
        <v>0.067871316844454</v>
      </c>
      <c r="AG34" s="4" t="n">
        <f aca="false">_xlfn.T.TEST(D34:J34,X34:AD34,1,2)</f>
        <v>0.0457017559050825</v>
      </c>
      <c r="AH34" s="0" t="n">
        <v>0.200730924760351</v>
      </c>
    </row>
    <row r="35" customFormat="false" ht="15" hidden="false" customHeight="false" outlineLevel="0" collapsed="false">
      <c r="A35" s="0" t="s">
        <v>105</v>
      </c>
      <c r="B35" s="0" t="s">
        <v>103</v>
      </c>
      <c r="C35" s="0" t="s">
        <v>104</v>
      </c>
      <c r="D35" s="0" t="n">
        <v>16.87099</v>
      </c>
      <c r="E35" s="0" t="n">
        <v>16.72521</v>
      </c>
      <c r="F35" s="0" t="n">
        <v>16.80788</v>
      </c>
      <c r="G35" s="0" t="n">
        <v>15.46483</v>
      </c>
      <c r="H35" s="0" t="n">
        <v>16.24533</v>
      </c>
      <c r="I35" s="0" t="n">
        <v>16.07289</v>
      </c>
      <c r="J35" s="0" t="n">
        <v>17.55293</v>
      </c>
      <c r="K35" s="0" t="n">
        <v>16.0528</v>
      </c>
      <c r="L35" s="0" t="n">
        <v>15.85389</v>
      </c>
      <c r="M35" s="0" t="n">
        <v>16.97455</v>
      </c>
      <c r="N35" s="0" t="n">
        <v>16.99713</v>
      </c>
      <c r="O35" s="0" t="n">
        <v>18.04244</v>
      </c>
      <c r="P35" s="0" t="n">
        <v>15.76394</v>
      </c>
      <c r="Q35" s="0" t="n">
        <v>15.20945</v>
      </c>
      <c r="R35" s="0" t="n">
        <v>16.83009</v>
      </c>
      <c r="S35" s="0" t="n">
        <v>15.99035</v>
      </c>
      <c r="T35" s="0" t="n">
        <v>16.29822</v>
      </c>
      <c r="U35" s="0" t="n">
        <v>14.95042</v>
      </c>
      <c r="V35" s="0" t="n">
        <v>16.30878</v>
      </c>
      <c r="W35" s="0" t="n">
        <v>17.02637</v>
      </c>
      <c r="X35" s="0" t="n">
        <v>15.35066</v>
      </c>
      <c r="Y35" s="0" t="n">
        <v>15.02851</v>
      </c>
      <c r="Z35" s="0" t="n">
        <v>15.72443</v>
      </c>
      <c r="AA35" s="0" t="n">
        <v>15.80176</v>
      </c>
      <c r="AB35" s="0" t="n">
        <v>16.63112</v>
      </c>
      <c r="AC35" s="0" t="n">
        <v>16.2312</v>
      </c>
      <c r="AD35" s="0" t="n">
        <v>16.76241</v>
      </c>
      <c r="AE35" s="0" t="n">
        <f aca="false">_xlfn.T.TEST(D35:J35,K35:W35,1,2)</f>
        <v>0.29372787128109</v>
      </c>
      <c r="AF35" s="0" t="n">
        <f aca="false">_xlfn.T.TEST(K35:W35,X35:AD35,1,2)</f>
        <v>0.145072937314675</v>
      </c>
      <c r="AG35" s="0" t="n">
        <f aca="false">_xlfn.T.TEST(D35:J35,X35:AD35,1,2)</f>
        <v>0.0563175582060671</v>
      </c>
      <c r="AH35" s="0" t="n">
        <v>0.205260948406384</v>
      </c>
    </row>
    <row r="36" customFormat="false" ht="15" hidden="false" customHeight="false" outlineLevel="0" collapsed="false">
      <c r="A36" s="0" t="s">
        <v>205</v>
      </c>
      <c r="B36" s="0" t="s">
        <v>203</v>
      </c>
      <c r="C36" s="0" t="s">
        <v>204</v>
      </c>
      <c r="D36" s="0" t="n">
        <v>18.3742</v>
      </c>
      <c r="E36" s="0" t="n">
        <v>18.99604</v>
      </c>
      <c r="F36" s="0" t="n">
        <v>15.38323</v>
      </c>
      <c r="G36" s="0" t="n">
        <v>18.3599</v>
      </c>
      <c r="H36" s="0" t="n">
        <v>18.52187</v>
      </c>
      <c r="I36" s="0" t="n">
        <v>17.78788</v>
      </c>
      <c r="J36" s="0" t="n">
        <v>17.03843</v>
      </c>
      <c r="K36" s="0" t="n">
        <v>18.71085</v>
      </c>
      <c r="L36" s="0" t="n">
        <v>17.60292</v>
      </c>
      <c r="M36" s="0" t="n">
        <v>17.43843</v>
      </c>
      <c r="N36" s="0" t="n">
        <v>17.23698</v>
      </c>
      <c r="O36" s="0" t="n">
        <v>16.93192</v>
      </c>
      <c r="P36" s="0" t="n">
        <v>18.57766</v>
      </c>
      <c r="Q36" s="0" t="n">
        <v>18.49946</v>
      </c>
      <c r="R36" s="0" t="n">
        <v>16.30804</v>
      </c>
      <c r="S36" s="0" t="n">
        <v>17.86942</v>
      </c>
      <c r="T36" s="0" t="n">
        <v>19.16271</v>
      </c>
      <c r="U36" s="0" t="n">
        <v>17.81284</v>
      </c>
      <c r="V36" s="0" t="n">
        <v>18.20256</v>
      </c>
      <c r="W36" s="0" t="n">
        <v>17.7714</v>
      </c>
      <c r="X36" s="0" t="n">
        <v>19.23093</v>
      </c>
      <c r="Y36" s="0" t="n">
        <v>17.86653</v>
      </c>
      <c r="Z36" s="0" t="n">
        <v>18.134</v>
      </c>
      <c r="AA36" s="0" t="n">
        <v>19.17809</v>
      </c>
      <c r="AB36" s="0" t="n">
        <v>18.42366</v>
      </c>
      <c r="AC36" s="0" t="n">
        <v>18.63803</v>
      </c>
      <c r="AD36" s="0" t="n">
        <v>19.16391</v>
      </c>
      <c r="AE36" s="0" t="n">
        <f aca="false">_xlfn.T.TEST(D36:J36,K36:W36,1,2)</f>
        <v>0.433869244801645</v>
      </c>
      <c r="AF36" s="4" t="n">
        <f aca="false">_xlfn.T.TEST(K36:W36,X36:AD36,1,2)</f>
        <v>0.0134920841294445</v>
      </c>
      <c r="AG36" s="0" t="n">
        <f aca="false">_xlfn.T.TEST(D36:J36,X36:AD36,1,2)</f>
        <v>0.0539534193816009</v>
      </c>
      <c r="AH36" s="0" t="n">
        <v>0.208326277266573</v>
      </c>
    </row>
    <row r="37" customFormat="false" ht="15" hidden="false" customHeight="false" outlineLevel="0" collapsed="false">
      <c r="A37" s="0" t="s">
        <v>329</v>
      </c>
      <c r="B37" s="0" t="s">
        <v>327</v>
      </c>
      <c r="C37" s="0" t="s">
        <v>328</v>
      </c>
      <c r="D37" s="0" t="n">
        <v>20.25753</v>
      </c>
      <c r="E37" s="0" t="n">
        <v>20.53602</v>
      </c>
      <c r="F37" s="0" t="n">
        <v>18.30768</v>
      </c>
      <c r="G37" s="0" t="n">
        <v>20.76061</v>
      </c>
      <c r="H37" s="0" t="n">
        <v>20.50543</v>
      </c>
      <c r="I37" s="0" t="n">
        <v>20.81613</v>
      </c>
      <c r="J37" s="0" t="n">
        <v>20.11337</v>
      </c>
      <c r="K37" s="0" t="n">
        <v>20.5871</v>
      </c>
      <c r="L37" s="0" t="n">
        <v>20.95971</v>
      </c>
      <c r="M37" s="0" t="n">
        <v>20.93121</v>
      </c>
      <c r="N37" s="0" t="n">
        <v>18.38229</v>
      </c>
      <c r="O37" s="0" t="n">
        <v>20.22694</v>
      </c>
      <c r="P37" s="0" t="n">
        <v>20.81495</v>
      </c>
      <c r="Q37" s="0" t="n">
        <v>19.18628</v>
      </c>
      <c r="R37" s="0" t="n">
        <v>20.52363</v>
      </c>
      <c r="S37" s="0" t="n">
        <v>20.69464</v>
      </c>
      <c r="T37" s="0" t="n">
        <v>20.98106</v>
      </c>
      <c r="U37" s="0" t="n">
        <v>21.01903</v>
      </c>
      <c r="V37" s="0" t="n">
        <v>21.03946</v>
      </c>
      <c r="W37" s="0" t="n">
        <v>20.84827</v>
      </c>
      <c r="X37" s="0" t="n">
        <v>21.63139</v>
      </c>
      <c r="Y37" s="0" t="n">
        <v>20.82314</v>
      </c>
      <c r="Z37" s="0" t="n">
        <v>20.14644</v>
      </c>
      <c r="AA37" s="0" t="n">
        <v>21.05676</v>
      </c>
      <c r="AB37" s="0" t="n">
        <v>21.20538</v>
      </c>
      <c r="AC37" s="0" t="n">
        <v>20.78796</v>
      </c>
      <c r="AD37" s="0" t="n">
        <v>21.38943</v>
      </c>
      <c r="AE37" s="0" t="n">
        <f aca="false">_xlfn.T.TEST(D37:J37,K37:W37,1,2)</f>
        <v>0.23033204951683</v>
      </c>
      <c r="AF37" s="0" t="n">
        <f aca="false">_xlfn.T.TEST(K37:W37,X37:AD37,1,2)</f>
        <v>0.0652005047385221</v>
      </c>
      <c r="AG37" s="4" t="n">
        <f aca="false">_xlfn.T.TEST(D37:J37,X37:AD37,1,2)</f>
        <v>0.0244599487443653</v>
      </c>
      <c r="AH37" s="0" t="n">
        <v>0.223636570438897</v>
      </c>
    </row>
    <row r="38" customFormat="false" ht="15" hidden="false" customHeight="false" outlineLevel="0" collapsed="false">
      <c r="A38" s="0" t="s">
        <v>165</v>
      </c>
      <c r="B38" s="0" t="s">
        <v>163</v>
      </c>
      <c r="C38" s="0" t="s">
        <v>164</v>
      </c>
      <c r="D38" s="0" t="n">
        <v>16.04367</v>
      </c>
      <c r="E38" s="0" t="n">
        <v>16.79538</v>
      </c>
      <c r="F38" s="0" t="n">
        <v>16.03704</v>
      </c>
      <c r="G38" s="0" t="n">
        <v>14.91625</v>
      </c>
      <c r="H38" s="0" t="n">
        <v>15.95374</v>
      </c>
      <c r="I38" s="0" t="n">
        <v>15.72353</v>
      </c>
      <c r="J38" s="0" t="n">
        <v>16.4533</v>
      </c>
      <c r="K38" s="0" t="n">
        <v>16.57538</v>
      </c>
      <c r="L38" s="0" t="n">
        <v>16.01097</v>
      </c>
      <c r="M38" s="0" t="n">
        <v>15.06214</v>
      </c>
      <c r="N38" s="0" t="n">
        <v>16.56501</v>
      </c>
      <c r="O38" s="0" t="n">
        <v>16.9547</v>
      </c>
      <c r="P38" s="0" t="n">
        <v>16.56139</v>
      </c>
      <c r="Q38" s="0" t="n">
        <v>15.62051</v>
      </c>
      <c r="R38" s="0" t="n">
        <v>17.50789</v>
      </c>
      <c r="S38" s="0" t="n">
        <v>17.71196</v>
      </c>
      <c r="T38" s="0" t="n">
        <v>16.93549</v>
      </c>
      <c r="U38" s="0" t="n">
        <v>16.43788</v>
      </c>
      <c r="V38" s="0" t="n">
        <v>16.52257</v>
      </c>
      <c r="W38" s="0" t="n">
        <v>16.40241</v>
      </c>
      <c r="X38" s="0" t="n">
        <v>15.62827</v>
      </c>
      <c r="Y38" s="0" t="n">
        <v>12.58949</v>
      </c>
      <c r="Z38" s="0" t="n">
        <v>16.32119</v>
      </c>
      <c r="AA38" s="0" t="n">
        <v>17.12212</v>
      </c>
      <c r="AB38" s="0" t="n">
        <v>16.73886</v>
      </c>
      <c r="AC38" s="0" t="n">
        <v>16.22865</v>
      </c>
      <c r="AD38" s="0" t="n">
        <v>18.3413</v>
      </c>
      <c r="AE38" s="4" t="n">
        <f aca="false">_xlfn.T.TEST(D38:J38,K38:W38,1,2)</f>
        <v>0.0514769493440605</v>
      </c>
      <c r="AF38" s="0" t="n">
        <f aca="false">_xlfn.T.TEST(K38:W38,X38:AD38,1,2)</f>
        <v>0.245008553219796</v>
      </c>
      <c r="AG38" s="0" t="n">
        <f aca="false">_xlfn.T.TEST(D38:J38,X38:AD38,1,2)</f>
        <v>0.418342571666151</v>
      </c>
      <c r="AH38" s="0" t="n">
        <v>0.242963987791644</v>
      </c>
    </row>
    <row r="39" customFormat="false" ht="15" hidden="false" customHeight="false" outlineLevel="0" collapsed="false">
      <c r="A39" s="0" t="s">
        <v>237</v>
      </c>
      <c r="B39" s="0" t="s">
        <v>235</v>
      </c>
      <c r="C39" s="0" t="s">
        <v>236</v>
      </c>
      <c r="D39" s="0" t="n">
        <v>25.01682</v>
      </c>
      <c r="E39" s="0" t="n">
        <v>24.64169</v>
      </c>
      <c r="F39" s="0" t="n">
        <v>25.23531</v>
      </c>
      <c r="G39" s="0" t="n">
        <v>24.79595</v>
      </c>
      <c r="H39" s="0" t="n">
        <v>25.22781</v>
      </c>
      <c r="I39" s="0" t="n">
        <v>24.70097</v>
      </c>
      <c r="J39" s="0" t="n">
        <v>24.49521</v>
      </c>
      <c r="K39" s="0" t="n">
        <v>25.09511</v>
      </c>
      <c r="L39" s="0" t="n">
        <v>25.12364</v>
      </c>
      <c r="M39" s="0" t="n">
        <v>24.98763</v>
      </c>
      <c r="N39" s="0" t="n">
        <v>24.57259</v>
      </c>
      <c r="O39" s="0" t="n">
        <v>24.32457</v>
      </c>
      <c r="P39" s="0" t="n">
        <v>25.19746</v>
      </c>
      <c r="Q39" s="0" t="n">
        <v>24.90196</v>
      </c>
      <c r="R39" s="0" t="n">
        <v>24.38745</v>
      </c>
      <c r="S39" s="0" t="n">
        <v>24.88274</v>
      </c>
      <c r="T39" s="0" t="n">
        <v>25.09362</v>
      </c>
      <c r="U39" s="0" t="n">
        <v>24.92918</v>
      </c>
      <c r="V39" s="0" t="n">
        <v>25.27909</v>
      </c>
      <c r="W39" s="0" t="n">
        <v>24.82046</v>
      </c>
      <c r="X39" s="0" t="n">
        <v>25.59898</v>
      </c>
      <c r="Y39" s="0" t="n">
        <v>25.08091</v>
      </c>
      <c r="Z39" s="0" t="n">
        <v>24.88409</v>
      </c>
      <c r="AA39" s="0" t="n">
        <v>24.8715</v>
      </c>
      <c r="AB39" s="0" t="n">
        <v>25.01423</v>
      </c>
      <c r="AC39" s="0" t="n">
        <v>25.22839</v>
      </c>
      <c r="AD39" s="0" t="n">
        <v>25.51746</v>
      </c>
      <c r="AE39" s="0" t="n">
        <f aca="false">_xlfn.T.TEST(D39:J39,K39:W39,1,2)</f>
        <v>0.447614692698631</v>
      </c>
      <c r="AF39" s="4" t="n">
        <f aca="false">_xlfn.T.TEST(K39:W39,X39:AD39,1,2)</f>
        <v>0.0301327386637804</v>
      </c>
      <c r="AG39" s="4" t="n">
        <f aca="false">_xlfn.T.TEST(D39:J39,X39:AD39,1,2)</f>
        <v>0.0403260890835838</v>
      </c>
      <c r="AH39" s="0" t="n">
        <v>0.263065180296817</v>
      </c>
    </row>
    <row r="40" customFormat="false" ht="15" hidden="false" customHeight="false" outlineLevel="0" collapsed="false">
      <c r="A40" s="0" t="s">
        <v>445</v>
      </c>
      <c r="B40" s="0" t="s">
        <v>443</v>
      </c>
      <c r="C40" s="0" t="s">
        <v>444</v>
      </c>
      <c r="D40" s="0" t="n">
        <v>21.48851</v>
      </c>
      <c r="E40" s="0" t="n">
        <v>20.80617</v>
      </c>
      <c r="F40" s="0" t="n">
        <v>22.3644</v>
      </c>
      <c r="G40" s="0" t="n">
        <v>21.32564</v>
      </c>
      <c r="H40" s="0" t="n">
        <v>20.9315</v>
      </c>
      <c r="I40" s="0" t="n">
        <v>21.57191</v>
      </c>
      <c r="J40" s="0" t="n">
        <v>20.61468</v>
      </c>
      <c r="K40" s="0" t="n">
        <v>21.34597</v>
      </c>
      <c r="L40" s="0" t="n">
        <v>21.65106</v>
      </c>
      <c r="M40" s="0" t="n">
        <v>21.08784</v>
      </c>
      <c r="N40" s="0" t="n">
        <v>21.10655</v>
      </c>
      <c r="O40" s="0" t="n">
        <v>20.1437</v>
      </c>
      <c r="P40" s="0" t="n">
        <v>21.75005</v>
      </c>
      <c r="Q40" s="0" t="n">
        <v>21.66336</v>
      </c>
      <c r="R40" s="0" t="n">
        <v>20.21939</v>
      </c>
      <c r="S40" s="0" t="n">
        <v>20.98183</v>
      </c>
      <c r="T40" s="0" t="n">
        <v>21.73037</v>
      </c>
      <c r="U40" s="0" t="n">
        <v>21.61392</v>
      </c>
      <c r="V40" s="0" t="n">
        <v>21.32509</v>
      </c>
      <c r="W40" s="0" t="n">
        <v>21.48974</v>
      </c>
      <c r="X40" s="0" t="n">
        <v>21.679</v>
      </c>
      <c r="Y40" s="0" t="n">
        <v>21.33957</v>
      </c>
      <c r="Z40" s="0" t="n">
        <v>21.98735</v>
      </c>
      <c r="AA40" s="0" t="n">
        <v>21.61531</v>
      </c>
      <c r="AB40" s="0" t="n">
        <v>21.31252</v>
      </c>
      <c r="AC40" s="0" t="n">
        <v>21.98694</v>
      </c>
      <c r="AD40" s="0" t="n">
        <v>21.50101</v>
      </c>
      <c r="AE40" s="0" t="n">
        <f aca="false">_xlfn.T.TEST(D40:J40,K40:W40,1,2)</f>
        <v>0.408007871298005</v>
      </c>
      <c r="AF40" s="4" t="n">
        <f aca="false">_xlfn.T.TEST(K40:W40,X40:AD40,1,2)</f>
        <v>0.0440453789209764</v>
      </c>
      <c r="AG40" s="0" t="n">
        <f aca="false">_xlfn.T.TEST(D40:J40,X40:AD40,1,2)</f>
        <v>0.101915063457939</v>
      </c>
      <c r="AH40" s="0" t="n">
        <v>0.264653324173287</v>
      </c>
    </row>
    <row r="41" customFormat="false" ht="15" hidden="false" customHeight="false" outlineLevel="0" collapsed="false">
      <c r="A41" s="0" t="s">
        <v>199</v>
      </c>
      <c r="B41" s="0" t="s">
        <v>197</v>
      </c>
      <c r="C41" s="0" t="s">
        <v>198</v>
      </c>
      <c r="D41" s="0" t="n">
        <v>20.18689</v>
      </c>
      <c r="E41" s="0" t="n">
        <v>20.28093</v>
      </c>
      <c r="F41" s="0" t="n">
        <v>20.92636</v>
      </c>
      <c r="G41" s="0" t="n">
        <v>21.07274</v>
      </c>
      <c r="H41" s="0" t="n">
        <v>20.99238</v>
      </c>
      <c r="I41" s="0" t="n">
        <v>20.69243</v>
      </c>
      <c r="J41" s="0" t="n">
        <v>20.86423</v>
      </c>
      <c r="K41" s="0" t="n">
        <v>20.9631</v>
      </c>
      <c r="L41" s="0" t="n">
        <v>20.74829</v>
      </c>
      <c r="M41" s="0" t="n">
        <v>20.61935</v>
      </c>
      <c r="N41" s="0" t="n">
        <v>19.59905</v>
      </c>
      <c r="O41" s="0" t="n">
        <v>23.40432</v>
      </c>
      <c r="P41" s="0" t="n">
        <v>21.2577</v>
      </c>
      <c r="Q41" s="0" t="n">
        <v>19.00561</v>
      </c>
      <c r="R41" s="0" t="n">
        <v>23.01052</v>
      </c>
      <c r="S41" s="0" t="n">
        <v>20.58893</v>
      </c>
      <c r="T41" s="0" t="n">
        <v>21.10476</v>
      </c>
      <c r="U41" s="0" t="n">
        <v>20.37888</v>
      </c>
      <c r="V41" s="0" t="n">
        <v>20.76903</v>
      </c>
      <c r="W41" s="0" t="n">
        <v>20.12187</v>
      </c>
      <c r="X41" s="0" t="n">
        <v>21.98905</v>
      </c>
      <c r="Y41" s="0" t="n">
        <v>21.27503</v>
      </c>
      <c r="Z41" s="0" t="n">
        <v>21.5015</v>
      </c>
      <c r="AA41" s="0" t="n">
        <v>21.47001</v>
      </c>
      <c r="AB41" s="0" t="n">
        <v>21.37857</v>
      </c>
      <c r="AC41" s="0" t="n">
        <v>21.37798</v>
      </c>
      <c r="AD41" s="0" t="n">
        <v>21.17792</v>
      </c>
      <c r="AE41" s="0" t="n">
        <f aca="false">_xlfn.T.TEST(D41:J41,K41:W41,1,2)</f>
        <v>0.357829911229169</v>
      </c>
      <c r="AF41" s="0" t="n">
        <f aca="false">_xlfn.T.TEST(K41:W41,X41:AD41,1,2)</f>
        <v>0.120743471013011</v>
      </c>
      <c r="AG41" s="5" t="n">
        <f aca="false">_xlfn.T.TEST(D41:J41,X41:AD41,1,2)</f>
        <v>0.00039419630214734</v>
      </c>
      <c r="AH41" s="0" t="n">
        <v>0.270910880585442</v>
      </c>
    </row>
    <row r="42" customFormat="false" ht="15" hidden="false" customHeight="false" outlineLevel="0" collapsed="false">
      <c r="A42" s="0" t="s">
        <v>77</v>
      </c>
      <c r="B42" s="0" t="s">
        <v>75</v>
      </c>
      <c r="C42" s="0" t="s">
        <v>76</v>
      </c>
      <c r="D42" s="0" t="n">
        <v>15.5548</v>
      </c>
      <c r="E42" s="0" t="n">
        <v>15.12602</v>
      </c>
      <c r="F42" s="0" t="n">
        <v>16.27262</v>
      </c>
      <c r="G42" s="0" t="n">
        <v>16.4766</v>
      </c>
      <c r="H42" s="0" t="n">
        <v>16.21443</v>
      </c>
      <c r="I42" s="0" t="n">
        <v>16.25158</v>
      </c>
      <c r="J42" s="0" t="n">
        <v>16.17707</v>
      </c>
      <c r="K42" s="0" t="n">
        <v>17.11319</v>
      </c>
      <c r="L42" s="0" t="n">
        <v>16.12671</v>
      </c>
      <c r="M42" s="0" t="n">
        <v>15.10636</v>
      </c>
      <c r="N42" s="0" t="n">
        <v>16.34158</v>
      </c>
      <c r="O42" s="0" t="n">
        <v>16.94215</v>
      </c>
      <c r="P42" s="0" t="n">
        <v>16.73978</v>
      </c>
      <c r="Q42" s="0" t="n">
        <v>14.11287</v>
      </c>
      <c r="R42" s="0" t="n">
        <v>17.89196</v>
      </c>
      <c r="S42" s="0" t="n">
        <v>17.37356</v>
      </c>
      <c r="T42" s="0" t="n">
        <v>16.86568</v>
      </c>
      <c r="U42" s="0" t="n">
        <v>16.61554</v>
      </c>
      <c r="V42" s="0" t="n">
        <v>15.90134</v>
      </c>
      <c r="W42" s="0" t="n">
        <v>16.18152</v>
      </c>
      <c r="X42" s="0" t="n">
        <v>17.09455</v>
      </c>
      <c r="Y42" s="0" t="n">
        <v>16.94478</v>
      </c>
      <c r="Z42" s="0" t="n">
        <v>17.01214</v>
      </c>
      <c r="AA42" s="0" t="n">
        <v>16.7761</v>
      </c>
      <c r="AB42" s="0" t="n">
        <v>16.54498</v>
      </c>
      <c r="AC42" s="0" t="n">
        <v>15.76464</v>
      </c>
      <c r="AD42" s="0" t="n">
        <v>17.46826</v>
      </c>
      <c r="AE42" s="0" t="n">
        <f aca="false">_xlfn.T.TEST(D42:J42,K42:W42,1,2)</f>
        <v>0.165743025336179</v>
      </c>
      <c r="AF42" s="0" t="n">
        <f aca="false">_xlfn.T.TEST(K42:W42,X42:AD42,1,2)</f>
        <v>0.172314327641715</v>
      </c>
      <c r="AG42" s="5" t="n">
        <f aca="false">_xlfn.T.TEST(D42:J42,X42:AD42,1,2)</f>
        <v>0.00678344153131868</v>
      </c>
      <c r="AH42" s="0" t="n">
        <v>0.308089427501065</v>
      </c>
    </row>
    <row r="43" customFormat="false" ht="15" hidden="false" customHeight="false" outlineLevel="0" collapsed="false">
      <c r="A43" s="0" t="s">
        <v>310</v>
      </c>
      <c r="B43" s="0" t="s">
        <v>308</v>
      </c>
      <c r="C43" s="0" t="s">
        <v>309</v>
      </c>
      <c r="D43" s="0" t="n">
        <v>23.07774</v>
      </c>
      <c r="E43" s="0" t="n">
        <v>22.95211</v>
      </c>
      <c r="F43" s="0" t="n">
        <v>23.46712</v>
      </c>
      <c r="G43" s="0" t="n">
        <v>23.10478</v>
      </c>
      <c r="H43" s="0" t="n">
        <v>23.79213</v>
      </c>
      <c r="I43" s="0" t="n">
        <v>23.56162</v>
      </c>
      <c r="J43" s="0" t="n">
        <v>22.85855</v>
      </c>
      <c r="K43" s="0" t="n">
        <v>23.27555</v>
      </c>
      <c r="L43" s="0" t="n">
        <v>23.13323</v>
      </c>
      <c r="M43" s="0" t="n">
        <v>23.38653</v>
      </c>
      <c r="N43" s="0" t="n">
        <v>23.24531</v>
      </c>
      <c r="O43" s="0" t="n">
        <v>22.28926</v>
      </c>
      <c r="P43" s="0" t="n">
        <v>23.52013</v>
      </c>
      <c r="Q43" s="0" t="n">
        <v>23.67411</v>
      </c>
      <c r="R43" s="0" t="n">
        <v>22.47388</v>
      </c>
      <c r="S43" s="0" t="n">
        <v>22.98843</v>
      </c>
      <c r="T43" s="0" t="n">
        <v>23.47877</v>
      </c>
      <c r="U43" s="0" t="n">
        <v>23.37968</v>
      </c>
      <c r="V43" s="0" t="n">
        <v>22.91996</v>
      </c>
      <c r="W43" s="0" t="n">
        <v>23.16168</v>
      </c>
      <c r="X43" s="0" t="n">
        <v>23.67638</v>
      </c>
      <c r="Y43" s="0" t="n">
        <v>23.69147</v>
      </c>
      <c r="Z43" s="0" t="n">
        <v>23.17008</v>
      </c>
      <c r="AA43" s="0" t="n">
        <v>23.13187</v>
      </c>
      <c r="AB43" s="0" t="n">
        <v>23.38601</v>
      </c>
      <c r="AC43" s="0" t="n">
        <v>23.4929</v>
      </c>
      <c r="AD43" s="0" t="n">
        <v>23.19099</v>
      </c>
      <c r="AE43" s="0" t="n">
        <f aca="false">_xlfn.T.TEST(D43:J43,K43:W43,1,2)</f>
        <v>0.272946139335144</v>
      </c>
      <c r="AF43" s="0" t="n">
        <f aca="false">_xlfn.T.TEST(K43:W43,X43:AD43,1,2)</f>
        <v>0.0806077130729149</v>
      </c>
      <c r="AG43" s="0" t="n">
        <f aca="false">_xlfn.T.TEST(D43:J43,X43:AD43,1,2)</f>
        <v>0.211615947857018</v>
      </c>
      <c r="AH43" s="0" t="n">
        <v>0.309565182109136</v>
      </c>
    </row>
    <row r="44" customFormat="false" ht="15" hidden="false" customHeight="false" outlineLevel="0" collapsed="false">
      <c r="A44" s="0" t="s">
        <v>432</v>
      </c>
      <c r="B44" s="0" t="s">
        <v>430</v>
      </c>
      <c r="C44" s="0" t="s">
        <v>431</v>
      </c>
      <c r="D44" s="0" t="n">
        <v>15.564</v>
      </c>
      <c r="E44" s="0" t="n">
        <v>16.47028</v>
      </c>
      <c r="F44" s="0" t="n">
        <v>17.44682</v>
      </c>
      <c r="G44" s="0" t="n">
        <v>14.44664</v>
      </c>
      <c r="H44" s="0" t="n">
        <v>16.25058</v>
      </c>
      <c r="I44" s="0" t="n">
        <v>14.18255</v>
      </c>
      <c r="J44" s="0" t="n">
        <v>14.63441</v>
      </c>
      <c r="K44" s="0" t="n">
        <v>16.77841</v>
      </c>
      <c r="L44" s="0" t="n">
        <v>15.94854</v>
      </c>
      <c r="M44" s="0" t="n">
        <v>13.98648</v>
      </c>
      <c r="N44" s="0" t="n">
        <v>17.60104</v>
      </c>
      <c r="O44" s="0" t="n">
        <v>13.44255</v>
      </c>
      <c r="P44" s="0" t="n">
        <v>18.21409</v>
      </c>
      <c r="Q44" s="0" t="n">
        <v>16.17483</v>
      </c>
      <c r="R44" s="0" t="n">
        <v>14.15474</v>
      </c>
      <c r="S44" s="0" t="n">
        <v>17.50603</v>
      </c>
      <c r="T44" s="0" t="n">
        <v>16.65704</v>
      </c>
      <c r="U44" s="0" t="n">
        <v>16.23195</v>
      </c>
      <c r="V44" s="0" t="n">
        <v>16.56483</v>
      </c>
      <c r="W44" s="0" t="n">
        <v>15.38104</v>
      </c>
      <c r="X44" s="0" t="n">
        <v>16.38083</v>
      </c>
      <c r="Y44" s="0" t="n">
        <v>15.64982</v>
      </c>
      <c r="Z44" s="0" t="n">
        <v>17.63261</v>
      </c>
      <c r="AA44" s="0" t="n">
        <v>18.0426</v>
      </c>
      <c r="AB44" s="0" t="n">
        <v>17.98776</v>
      </c>
      <c r="AC44" s="0" t="n">
        <v>14.7754</v>
      </c>
      <c r="AD44" s="0" t="n">
        <v>18.0358</v>
      </c>
      <c r="AE44" s="0" t="n">
        <f aca="false">_xlfn.T.TEST(D44:J44,K44:W44,1,2)</f>
        <v>0.234833131700416</v>
      </c>
      <c r="AF44" s="0" t="n">
        <f aca="false">_xlfn.T.TEST(K44:W44,X44:AD44,1,2)</f>
        <v>0.101070408547944</v>
      </c>
      <c r="AG44" s="4" t="n">
        <f aca="false">_xlfn.T.TEST(D44:J44,X44:AD44,1,2)</f>
        <v>0.0347511348269355</v>
      </c>
      <c r="AH44" s="0" t="n">
        <v>0.324864647488503</v>
      </c>
    </row>
    <row r="45" customFormat="false" ht="15" hidden="false" customHeight="false" outlineLevel="0" collapsed="false">
      <c r="A45" s="0" t="s">
        <v>414</v>
      </c>
      <c r="B45" s="0" t="s">
        <v>412</v>
      </c>
      <c r="C45" s="0" t="s">
        <v>413</v>
      </c>
      <c r="D45" s="0" t="n">
        <v>22.49641</v>
      </c>
      <c r="E45" s="0" t="n">
        <v>23.91306</v>
      </c>
      <c r="F45" s="0" t="n">
        <v>23.68699</v>
      </c>
      <c r="G45" s="0" t="n">
        <v>22.95977</v>
      </c>
      <c r="H45" s="0" t="n">
        <v>23.96728</v>
      </c>
      <c r="I45" s="0" t="n">
        <v>23.25638</v>
      </c>
      <c r="J45" s="0" t="n">
        <v>22.51836</v>
      </c>
      <c r="K45" s="0" t="n">
        <v>23.42278</v>
      </c>
      <c r="L45" s="0" t="n">
        <v>23.40484</v>
      </c>
      <c r="M45" s="0" t="n">
        <v>23.88008</v>
      </c>
      <c r="N45" s="0" t="n">
        <v>22.10265</v>
      </c>
      <c r="O45" s="0" t="n">
        <v>23.0641</v>
      </c>
      <c r="P45" s="0" t="n">
        <v>23.01813</v>
      </c>
      <c r="Q45" s="0" t="n">
        <v>23.98963</v>
      </c>
      <c r="R45" s="0" t="n">
        <v>22.5852</v>
      </c>
      <c r="S45" s="0" t="n">
        <v>23.6903</v>
      </c>
      <c r="T45" s="0" t="n">
        <v>23.24506</v>
      </c>
      <c r="U45" s="0" t="n">
        <v>23.88213</v>
      </c>
      <c r="V45" s="0" t="n">
        <v>23.81264</v>
      </c>
      <c r="W45" s="0" t="n">
        <v>22.86637</v>
      </c>
      <c r="X45" s="0" t="n">
        <v>24.08999</v>
      </c>
      <c r="Y45" s="0" t="n">
        <v>23.21804</v>
      </c>
      <c r="Z45" s="0" t="n">
        <v>24.06489</v>
      </c>
      <c r="AA45" s="0" t="n">
        <v>23.6093</v>
      </c>
      <c r="AB45" s="0" t="n">
        <v>23.86448</v>
      </c>
      <c r="AC45" s="0" t="n">
        <v>23.18312</v>
      </c>
      <c r="AD45" s="0" t="n">
        <v>23.73376</v>
      </c>
      <c r="AE45" s="0" t="n">
        <f aca="false">_xlfn.T.TEST(D45:J45,K45:W45,1,2)</f>
        <v>0.431665892877526</v>
      </c>
      <c r="AF45" s="0" t="n">
        <f aca="false">_xlfn.T.TEST(K45:W45,X45:AD45,1,2)</f>
        <v>0.0667909641638162</v>
      </c>
      <c r="AG45" s="0" t="n">
        <f aca="false">_xlfn.T.TEST(D45:J45,X45:AD45,1,2)</f>
        <v>0.0739493058118137</v>
      </c>
      <c r="AH45" s="0" t="n">
        <v>0.340021873762413</v>
      </c>
    </row>
    <row r="46" customFormat="false" ht="15" hidden="false" customHeight="false" outlineLevel="0" collapsed="false">
      <c r="A46" s="0" t="s">
        <v>317</v>
      </c>
      <c r="B46" s="0" t="s">
        <v>315</v>
      </c>
      <c r="C46" s="0" t="s">
        <v>316</v>
      </c>
      <c r="D46" s="0" t="n">
        <v>25.0547</v>
      </c>
      <c r="E46" s="0" t="n">
        <v>23.80853</v>
      </c>
      <c r="F46" s="0" t="n">
        <v>24.28673</v>
      </c>
      <c r="G46" s="0" t="n">
        <v>24.79531</v>
      </c>
      <c r="H46" s="0" t="n">
        <v>24.9055</v>
      </c>
      <c r="I46" s="0" t="n">
        <v>24.70852</v>
      </c>
      <c r="J46" s="0" t="n">
        <v>25.0147</v>
      </c>
      <c r="K46" s="0" t="n">
        <v>24.48738</v>
      </c>
      <c r="L46" s="0" t="n">
        <v>25.02614</v>
      </c>
      <c r="M46" s="0" t="n">
        <v>25.45158</v>
      </c>
      <c r="N46" s="0" t="n">
        <v>24.3646</v>
      </c>
      <c r="O46" s="0" t="n">
        <v>25.60631</v>
      </c>
      <c r="P46" s="0" t="n">
        <v>24.86566</v>
      </c>
      <c r="Q46" s="0" t="n">
        <v>24.86844</v>
      </c>
      <c r="R46" s="0" t="n">
        <v>25.5037</v>
      </c>
      <c r="S46" s="0" t="n">
        <v>24.51923</v>
      </c>
      <c r="T46" s="0" t="n">
        <v>24.60789</v>
      </c>
      <c r="U46" s="0" t="n">
        <v>24.31907</v>
      </c>
      <c r="V46" s="0" t="n">
        <v>24.36793</v>
      </c>
      <c r="W46" s="0" t="n">
        <v>24.75588</v>
      </c>
      <c r="X46" s="0" t="n">
        <v>24.72588</v>
      </c>
      <c r="Y46" s="0" t="n">
        <v>24.53635</v>
      </c>
      <c r="Z46" s="0" t="n">
        <v>24.3684</v>
      </c>
      <c r="AA46" s="0" t="n">
        <v>24.49069</v>
      </c>
      <c r="AB46" s="0" t="n">
        <v>24.31659</v>
      </c>
      <c r="AC46" s="0" t="n">
        <v>24.79119</v>
      </c>
      <c r="AD46" s="0" t="n">
        <v>24.43307</v>
      </c>
      <c r="AE46" s="0" t="n">
        <f aca="false">_xlfn.T.TEST(D46:J46,K46:W46,1,2)</f>
        <v>0.21222377147828</v>
      </c>
      <c r="AF46" s="0" t="n">
        <f aca="false">_xlfn.T.TEST(K46:W46,X46:AD46,1,2)</f>
        <v>0.053988875320513</v>
      </c>
      <c r="AG46" s="0" t="n">
        <f aca="false">_xlfn.T.TEST(D46:J46,X46:AD46,1,2)</f>
        <v>0.245768798951191</v>
      </c>
      <c r="AH46" s="0" t="n">
        <v>0.34289565730008</v>
      </c>
    </row>
    <row r="47" customFormat="false" ht="15" hidden="false" customHeight="false" outlineLevel="0" collapsed="false">
      <c r="A47" s="0" t="s">
        <v>440</v>
      </c>
      <c r="B47" s="0" t="s">
        <v>438</v>
      </c>
      <c r="C47" s="0" t="s">
        <v>439</v>
      </c>
      <c r="D47" s="0" t="n">
        <v>21.01577</v>
      </c>
      <c r="E47" s="0" t="n">
        <v>21.36965</v>
      </c>
      <c r="F47" s="0" t="n">
        <v>20.76668</v>
      </c>
      <c r="G47" s="0" t="n">
        <v>20.22117</v>
      </c>
      <c r="H47" s="0" t="n">
        <v>21.47511</v>
      </c>
      <c r="I47" s="0" t="n">
        <v>20.96374</v>
      </c>
      <c r="J47" s="0" t="n">
        <v>21.093</v>
      </c>
      <c r="K47" s="0" t="n">
        <v>21.8511</v>
      </c>
      <c r="L47" s="0" t="n">
        <v>20.67926</v>
      </c>
      <c r="M47" s="0" t="n">
        <v>20.85323</v>
      </c>
      <c r="N47" s="0" t="n">
        <v>19.77378</v>
      </c>
      <c r="O47" s="0" t="n">
        <v>21.57907</v>
      </c>
      <c r="P47" s="0" t="n">
        <v>21.90566</v>
      </c>
      <c r="Q47" s="0" t="n">
        <v>22.48094</v>
      </c>
      <c r="R47" s="0" t="n">
        <v>20.72392</v>
      </c>
      <c r="S47" s="0" t="n">
        <v>21.48675</v>
      </c>
      <c r="T47" s="0" t="n">
        <v>21.99355</v>
      </c>
      <c r="U47" s="0" t="n">
        <v>21.79923</v>
      </c>
      <c r="V47" s="0" t="n">
        <v>21.31424</v>
      </c>
      <c r="W47" s="0" t="n">
        <v>21.65696</v>
      </c>
      <c r="X47" s="0" t="n">
        <v>21.34061</v>
      </c>
      <c r="Y47" s="0" t="n">
        <v>20.46842</v>
      </c>
      <c r="Z47" s="0" t="n">
        <v>21.36448</v>
      </c>
      <c r="AA47" s="0" t="n">
        <v>21.34126</v>
      </c>
      <c r="AB47" s="0" t="n">
        <v>21.07176</v>
      </c>
      <c r="AC47" s="0" t="n">
        <v>21.54534</v>
      </c>
      <c r="AD47" s="0" t="n">
        <v>21.38015</v>
      </c>
      <c r="AE47" s="0" t="n">
        <f aca="false">_xlfn.T.TEST(D47:J47,K47:W47,1,2)</f>
        <v>0.0940933994447288</v>
      </c>
      <c r="AF47" s="0" t="n">
        <f aca="false">_xlfn.T.TEST(K47:W47,X47:AD47,1,2)</f>
        <v>0.276349195870827</v>
      </c>
      <c r="AG47" s="0" t="n">
        <f aca="false">_xlfn.T.TEST(D47:J47,X47:AD47,1,2)</f>
        <v>0.144650955341066</v>
      </c>
      <c r="AH47" s="0" t="n">
        <v>0.346656181598619</v>
      </c>
    </row>
    <row r="48" customFormat="false" ht="15" hidden="false" customHeight="false" outlineLevel="0" collapsed="false">
      <c r="A48" s="0" t="s">
        <v>230</v>
      </c>
      <c r="B48" s="0" t="s">
        <v>228</v>
      </c>
      <c r="C48" s="0" t="s">
        <v>229</v>
      </c>
      <c r="D48" s="0" t="n">
        <v>25.27714</v>
      </c>
      <c r="E48" s="0" t="n">
        <v>24.26928</v>
      </c>
      <c r="F48" s="0" t="n">
        <v>23.98928</v>
      </c>
      <c r="G48" s="0" t="n">
        <v>25.54203</v>
      </c>
      <c r="H48" s="0" t="n">
        <v>25.37196</v>
      </c>
      <c r="I48" s="0" t="n">
        <v>25.4679</v>
      </c>
      <c r="J48" s="0" t="n">
        <v>24.8992</v>
      </c>
      <c r="K48" s="0" t="n">
        <v>25.22085</v>
      </c>
      <c r="L48" s="0" t="n">
        <v>24.7888</v>
      </c>
      <c r="M48" s="0" t="n">
        <v>25.14705</v>
      </c>
      <c r="N48" s="0" t="n">
        <v>23.51881</v>
      </c>
      <c r="O48" s="0" t="n">
        <v>23.90021</v>
      </c>
      <c r="P48" s="0" t="n">
        <v>25.30769</v>
      </c>
      <c r="Q48" s="0" t="n">
        <v>25.03695</v>
      </c>
      <c r="R48" s="0" t="n">
        <v>24.44335</v>
      </c>
      <c r="S48" s="0" t="n">
        <v>24.68923</v>
      </c>
      <c r="T48" s="0" t="n">
        <v>25.35803</v>
      </c>
      <c r="U48" s="0" t="n">
        <v>24.79119</v>
      </c>
      <c r="V48" s="0" t="n">
        <v>24.23513</v>
      </c>
      <c r="W48" s="0" t="n">
        <v>24.35797</v>
      </c>
      <c r="X48" s="0" t="n">
        <v>25.24659</v>
      </c>
      <c r="Y48" s="0" t="n">
        <v>24.99239</v>
      </c>
      <c r="Z48" s="0" t="n">
        <v>24.63915</v>
      </c>
      <c r="AA48" s="0" t="n">
        <v>24.73128</v>
      </c>
      <c r="AB48" s="0" t="n">
        <v>24.93863</v>
      </c>
      <c r="AC48" s="0" t="n">
        <v>25.46712</v>
      </c>
      <c r="AD48" s="0" t="n">
        <v>24.62439</v>
      </c>
      <c r="AE48" s="0" t="n">
        <f aca="false">_xlfn.T.TEST(D48:J48,K48:W48,1,2)</f>
        <v>0.1455652299681</v>
      </c>
      <c r="AF48" s="0" t="n">
        <f aca="false">_xlfn.T.TEST(K48:W48,X48:AD48,1,2)</f>
        <v>0.128967236889316</v>
      </c>
      <c r="AG48" s="0" t="n">
        <f aca="false">_xlfn.T.TEST(D48:J48,X48:AD48,1,2)</f>
        <v>0.462390881419675</v>
      </c>
      <c r="AH48" s="0" t="n">
        <v>0.351036692605931</v>
      </c>
    </row>
    <row r="49" customFormat="false" ht="15" hidden="false" customHeight="false" outlineLevel="0" collapsed="false">
      <c r="A49" s="0" t="s">
        <v>505</v>
      </c>
      <c r="B49" s="0" t="s">
        <v>503</v>
      </c>
      <c r="C49" s="0" t="s">
        <v>504</v>
      </c>
      <c r="D49" s="0" t="n">
        <v>18.58886</v>
      </c>
      <c r="E49" s="0" t="n">
        <v>17.79576</v>
      </c>
      <c r="F49" s="0" t="n">
        <v>16.48133</v>
      </c>
      <c r="G49" s="0" t="n">
        <v>17.79132</v>
      </c>
      <c r="H49" s="0" t="n">
        <v>17.45467</v>
      </c>
      <c r="I49" s="0" t="n">
        <v>19.15842</v>
      </c>
      <c r="J49" s="0" t="n">
        <v>15.31405</v>
      </c>
      <c r="K49" s="0" t="n">
        <v>17.4602</v>
      </c>
      <c r="L49" s="0" t="n">
        <v>18.0541</v>
      </c>
      <c r="M49" s="0" t="n">
        <v>18.80502</v>
      </c>
      <c r="N49" s="0" t="n">
        <v>16.69588</v>
      </c>
      <c r="O49" s="0" t="n">
        <v>16.9659</v>
      </c>
      <c r="P49" s="0" t="n">
        <v>17.73681</v>
      </c>
      <c r="Q49" s="0" t="n">
        <v>16.23874</v>
      </c>
      <c r="R49" s="0" t="n">
        <v>13.96768</v>
      </c>
      <c r="S49" s="0" t="n">
        <v>18.13129</v>
      </c>
      <c r="T49" s="0" t="n">
        <v>17.956</v>
      </c>
      <c r="U49" s="0" t="n">
        <v>18.37649</v>
      </c>
      <c r="V49" s="0" t="n">
        <v>15.43994</v>
      </c>
      <c r="W49" s="0" t="n">
        <v>18.15793</v>
      </c>
      <c r="X49" s="0" t="n">
        <v>18.41642</v>
      </c>
      <c r="Y49" s="0" t="n">
        <v>18.5087</v>
      </c>
      <c r="Z49" s="0" t="n">
        <v>13.81614</v>
      </c>
      <c r="AA49" s="0" t="n">
        <v>14.10724</v>
      </c>
      <c r="AB49" s="0" t="n">
        <v>14.03015</v>
      </c>
      <c r="AC49" s="0" t="n">
        <v>18.50502</v>
      </c>
      <c r="AD49" s="0" t="n">
        <v>17.18524</v>
      </c>
      <c r="AE49" s="0" t="n">
        <f aca="false">_xlfn.T.TEST(D49:J49,K49:W49,1,2)</f>
        <v>0.328664168360035</v>
      </c>
      <c r="AF49" s="0" t="n">
        <f aca="false">_xlfn.T.TEST(K49:W49,X49:AD49,1,2)</f>
        <v>0.149447307619309</v>
      </c>
      <c r="AG49" s="0" t="n">
        <f aca="false">_xlfn.T.TEST(D49:J49,X49:AD49,1,2)</f>
        <v>0.134585295296513</v>
      </c>
      <c r="AH49" s="0" t="n">
        <v>0.352353411049594</v>
      </c>
    </row>
    <row r="50" customFormat="false" ht="15" hidden="false" customHeight="false" outlineLevel="0" collapsed="false">
      <c r="A50" s="0" t="s">
        <v>435</v>
      </c>
      <c r="B50" s="0" t="s">
        <v>433</v>
      </c>
      <c r="C50" s="0" t="s">
        <v>434</v>
      </c>
      <c r="D50" s="0" t="n">
        <v>20.80507</v>
      </c>
      <c r="E50" s="0" t="n">
        <v>20.7032</v>
      </c>
      <c r="F50" s="0" t="n">
        <v>22.26674</v>
      </c>
      <c r="G50" s="0" t="n">
        <v>20.40114</v>
      </c>
      <c r="H50" s="0" t="n">
        <v>20.80357</v>
      </c>
      <c r="I50" s="0" t="n">
        <v>21.69353</v>
      </c>
      <c r="J50" s="0" t="n">
        <v>21.16681</v>
      </c>
      <c r="K50" s="0" t="n">
        <v>21.48015</v>
      </c>
      <c r="L50" s="0" t="n">
        <v>20.57228</v>
      </c>
      <c r="M50" s="0" t="n">
        <v>19.64938</v>
      </c>
      <c r="N50" s="0" t="n">
        <v>16.39241</v>
      </c>
      <c r="O50" s="0" t="n">
        <v>20.02134</v>
      </c>
      <c r="P50" s="0" t="n">
        <v>20.53022</v>
      </c>
      <c r="Q50" s="0" t="n">
        <v>22.6685</v>
      </c>
      <c r="R50" s="0" t="n">
        <v>21.48035</v>
      </c>
      <c r="S50" s="0" t="n">
        <v>21.58252</v>
      </c>
      <c r="T50" s="0" t="n">
        <v>21.46628</v>
      </c>
      <c r="U50" s="0" t="n">
        <v>21.05457</v>
      </c>
      <c r="V50" s="0" t="n">
        <v>21.45904</v>
      </c>
      <c r="W50" s="0" t="n">
        <v>21.63763</v>
      </c>
      <c r="X50" s="0" t="n">
        <v>21.73698</v>
      </c>
      <c r="Y50" s="0" t="n">
        <v>21.48089</v>
      </c>
      <c r="Z50" s="0" t="n">
        <v>21.93297</v>
      </c>
      <c r="AA50" s="0" t="n">
        <v>21.4207</v>
      </c>
      <c r="AB50" s="0" t="n">
        <v>21.83341</v>
      </c>
      <c r="AC50" s="0" t="n">
        <v>21.2447</v>
      </c>
      <c r="AD50" s="0" t="n">
        <v>22.00577</v>
      </c>
      <c r="AE50" s="0" t="n">
        <f aca="false">_xlfn.T.TEST(D50:J50,K50:W50,1,2)</f>
        <v>0.286601243790844</v>
      </c>
      <c r="AF50" s="0" t="n">
        <f aca="false">_xlfn.T.TEST(K50:W50,X50:AD50,1,2)</f>
        <v>0.0734767036474542</v>
      </c>
      <c r="AG50" s="4" t="n">
        <f aca="false">_xlfn.T.TEST(D50:J50,X50:AD50,1,2)</f>
        <v>0.0325604249647226</v>
      </c>
      <c r="AH50" s="0" t="n">
        <v>0.354250192325934</v>
      </c>
    </row>
    <row r="51" customFormat="false" ht="15" hidden="false" customHeight="false" outlineLevel="0" collapsed="false">
      <c r="A51" s="0" t="s">
        <v>109</v>
      </c>
      <c r="B51" s="0" t="s">
        <v>107</v>
      </c>
      <c r="C51" s="0" t="s">
        <v>108</v>
      </c>
      <c r="D51" s="0" t="n">
        <v>18.36765</v>
      </c>
      <c r="E51" s="0" t="n">
        <v>19.0047</v>
      </c>
      <c r="F51" s="0" t="n">
        <v>16.93535</v>
      </c>
      <c r="G51" s="0" t="n">
        <v>19.05844</v>
      </c>
      <c r="H51" s="0" t="n">
        <v>18.90098</v>
      </c>
      <c r="I51" s="0" t="n">
        <v>19.43017</v>
      </c>
      <c r="J51" s="0" t="n">
        <v>18.28211</v>
      </c>
      <c r="K51" s="0" t="n">
        <v>18.67024</v>
      </c>
      <c r="L51" s="0" t="n">
        <v>17.82532</v>
      </c>
      <c r="M51" s="0" t="n">
        <v>17.42571</v>
      </c>
      <c r="N51" s="0" t="n">
        <v>15.8977</v>
      </c>
      <c r="O51" s="0" t="n">
        <v>19.78202</v>
      </c>
      <c r="P51" s="0" t="n">
        <v>19.32479</v>
      </c>
      <c r="Q51" s="0" t="n">
        <v>19.24546</v>
      </c>
      <c r="R51" s="0" t="n">
        <v>19.61949</v>
      </c>
      <c r="S51" s="0" t="n">
        <v>18.74324</v>
      </c>
      <c r="T51" s="0" t="n">
        <v>19.61901</v>
      </c>
      <c r="U51" s="0" t="n">
        <v>18.90894</v>
      </c>
      <c r="V51" s="0" t="n">
        <v>18.99333</v>
      </c>
      <c r="W51" s="0" t="n">
        <v>19.25082</v>
      </c>
      <c r="X51" s="0" t="n">
        <v>18.33001</v>
      </c>
      <c r="Y51" s="0" t="n">
        <v>18.07953</v>
      </c>
      <c r="Z51" s="0" t="n">
        <v>19.31893</v>
      </c>
      <c r="AA51" s="0" t="n">
        <v>20.22247</v>
      </c>
      <c r="AB51" s="0" t="n">
        <v>20.15894</v>
      </c>
      <c r="AC51" s="0" t="n">
        <v>19.80303</v>
      </c>
      <c r="AD51" s="0" t="n">
        <v>19.91963</v>
      </c>
      <c r="AE51" s="0" t="n">
        <f aca="false">_xlfn.T.TEST(D51:J51,K51:W51,1,2)</f>
        <v>0.379391510770072</v>
      </c>
      <c r="AF51" s="0" t="n">
        <f aca="false">_xlfn.T.TEST(K51:W51,X51:AD51,1,2)</f>
        <v>0.0838606859411283</v>
      </c>
      <c r="AG51" s="4" t="n">
        <f aca="false">_xlfn.T.TEST(D51:J51,X51:AD51,1,2)</f>
        <v>0.0451393989380984</v>
      </c>
      <c r="AH51" s="0" t="n">
        <v>0.363433410077629</v>
      </c>
    </row>
    <row r="52" customFormat="false" ht="15" hidden="false" customHeight="false" outlineLevel="0" collapsed="false">
      <c r="A52" s="0" t="s">
        <v>225</v>
      </c>
      <c r="B52" s="0" t="s">
        <v>223</v>
      </c>
      <c r="C52" s="0" t="s">
        <v>224</v>
      </c>
      <c r="D52" s="0" t="n">
        <v>19.5303</v>
      </c>
      <c r="E52" s="0" t="n">
        <v>19.27646</v>
      </c>
      <c r="F52" s="0" t="n">
        <v>19.43011</v>
      </c>
      <c r="G52" s="0" t="n">
        <v>19.61788</v>
      </c>
      <c r="H52" s="0" t="n">
        <v>20.26442</v>
      </c>
      <c r="I52" s="0" t="n">
        <v>20.31241</v>
      </c>
      <c r="J52" s="0" t="n">
        <v>18.91386</v>
      </c>
      <c r="K52" s="0" t="n">
        <v>18.94941</v>
      </c>
      <c r="L52" s="0" t="n">
        <v>20.05192</v>
      </c>
      <c r="M52" s="0" t="n">
        <v>20.4053</v>
      </c>
      <c r="N52" s="0" t="n">
        <v>20.72966</v>
      </c>
      <c r="O52" s="0" t="n">
        <v>20.16411</v>
      </c>
      <c r="P52" s="0" t="n">
        <v>20.99058</v>
      </c>
      <c r="Q52" s="0" t="n">
        <v>20.81925</v>
      </c>
      <c r="R52" s="0" t="n">
        <v>19.3656</v>
      </c>
      <c r="S52" s="0" t="n">
        <v>19.35322</v>
      </c>
      <c r="T52" s="0" t="n">
        <v>19.96508</v>
      </c>
      <c r="U52" s="0" t="n">
        <v>19.18549</v>
      </c>
      <c r="V52" s="0" t="n">
        <v>19.47937</v>
      </c>
      <c r="W52" s="0" t="n">
        <v>19.79222</v>
      </c>
      <c r="X52" s="0" t="n">
        <v>19.54557</v>
      </c>
      <c r="Y52" s="0" t="n">
        <v>19.87048</v>
      </c>
      <c r="Z52" s="0" t="n">
        <v>19.72169</v>
      </c>
      <c r="AA52" s="0" t="n">
        <v>19.65901</v>
      </c>
      <c r="AB52" s="0" t="n">
        <v>19.74018</v>
      </c>
      <c r="AC52" s="0" t="n">
        <v>19.59689</v>
      </c>
      <c r="AD52" s="0" t="n">
        <v>19.31104</v>
      </c>
      <c r="AE52" s="0" t="n">
        <f aca="false">_xlfn.T.TEST(D52:J52,K52:W52,1,2)</f>
        <v>0.139416782181954</v>
      </c>
      <c r="AF52" s="0" t="n">
        <f aca="false">_xlfn.T.TEST(K52:W52,X52:AD52,1,2)</f>
        <v>0.123961453370198</v>
      </c>
      <c r="AG52" s="0" t="n">
        <f aca="false">_xlfn.T.TEST(D52:J52,X52:AD52,1,2)</f>
        <v>0.472794273054402</v>
      </c>
      <c r="AH52" s="0" t="n">
        <v>0.404232692600319</v>
      </c>
    </row>
    <row r="53" customFormat="false" ht="15" hidden="false" customHeight="false" outlineLevel="0" collapsed="false">
      <c r="A53" s="0" t="s">
        <v>307</v>
      </c>
      <c r="B53" s="0" t="s">
        <v>305</v>
      </c>
      <c r="C53" s="0" t="s">
        <v>306</v>
      </c>
      <c r="D53" s="0" t="n">
        <v>19.52728</v>
      </c>
      <c r="E53" s="0" t="n">
        <v>21.68209</v>
      </c>
      <c r="F53" s="0" t="n">
        <v>21.67116</v>
      </c>
      <c r="G53" s="0" t="n">
        <v>20.78277</v>
      </c>
      <c r="H53" s="0" t="n">
        <v>21.60309</v>
      </c>
      <c r="I53" s="0" t="n">
        <v>20.70269</v>
      </c>
      <c r="J53" s="0" t="n">
        <v>20.38437</v>
      </c>
      <c r="K53" s="0" t="n">
        <v>21.9501</v>
      </c>
      <c r="L53" s="0" t="n">
        <v>20.20288</v>
      </c>
      <c r="M53" s="0" t="n">
        <v>18.10472</v>
      </c>
      <c r="N53" s="0" t="n">
        <v>17.23211</v>
      </c>
      <c r="O53" s="0" t="n">
        <v>19.31072</v>
      </c>
      <c r="P53" s="0" t="n">
        <v>22.11661</v>
      </c>
      <c r="Q53" s="0" t="n">
        <v>20.9025</v>
      </c>
      <c r="R53" s="0" t="n">
        <v>20.24656</v>
      </c>
      <c r="S53" s="0" t="n">
        <v>20.95347</v>
      </c>
      <c r="T53" s="0" t="n">
        <v>21.1764</v>
      </c>
      <c r="U53" s="0" t="n">
        <v>21.76963</v>
      </c>
      <c r="V53" s="0" t="n">
        <v>21.06164</v>
      </c>
      <c r="W53" s="0" t="n">
        <v>21.163</v>
      </c>
      <c r="X53" s="0" t="n">
        <v>22.09516</v>
      </c>
      <c r="Y53" s="0" t="n">
        <v>20.30519</v>
      </c>
      <c r="Z53" s="0" t="n">
        <v>21.59969</v>
      </c>
      <c r="AA53" s="0" t="n">
        <v>21.55197</v>
      </c>
      <c r="AB53" s="0" t="n">
        <v>21.46518</v>
      </c>
      <c r="AC53" s="0" t="n">
        <v>20.41957</v>
      </c>
      <c r="AD53" s="0" t="n">
        <v>21.52831</v>
      </c>
      <c r="AE53" s="0" t="n">
        <f aca="false">_xlfn.T.TEST(D53:J53,K53:W53,1,2)</f>
        <v>0.24176364742072</v>
      </c>
      <c r="AF53" s="0" t="n">
        <f aca="false">_xlfn.T.TEST(K53:W53,X53:AD53,1,2)</f>
        <v>0.0947554315175817</v>
      </c>
      <c r="AG53" s="0" t="n">
        <f aca="false">_xlfn.T.TEST(D53:J53,X53:AD53,1,2)</f>
        <v>0.181363752522831</v>
      </c>
      <c r="AH53" s="0" t="n">
        <v>0.414088881756074</v>
      </c>
    </row>
    <row r="54" customFormat="false" ht="15" hidden="false" customHeight="false" outlineLevel="0" collapsed="false">
      <c r="A54" s="0" t="s">
        <v>161</v>
      </c>
      <c r="B54" s="0" t="s">
        <v>159</v>
      </c>
      <c r="C54" s="0" t="s">
        <v>160</v>
      </c>
      <c r="D54" s="0" t="n">
        <v>15.03391</v>
      </c>
      <c r="E54" s="0" t="n">
        <v>16.89676</v>
      </c>
      <c r="F54" s="0" t="n">
        <v>15.35416</v>
      </c>
      <c r="G54" s="0" t="n">
        <v>13.59322</v>
      </c>
      <c r="H54" s="0" t="n">
        <v>16.60091</v>
      </c>
      <c r="I54" s="0" t="n">
        <v>15.79736</v>
      </c>
      <c r="J54" s="0" t="n">
        <v>15.60226</v>
      </c>
      <c r="K54" s="0" t="n">
        <v>16.10928</v>
      </c>
      <c r="L54" s="0" t="n">
        <v>12.14114</v>
      </c>
      <c r="M54" s="0" t="n">
        <v>16.56764</v>
      </c>
      <c r="N54" s="0" t="n">
        <v>17.47359</v>
      </c>
      <c r="O54" s="0" t="n">
        <v>16.26984</v>
      </c>
      <c r="P54" s="0" t="n">
        <v>16.56385</v>
      </c>
      <c r="Q54" s="0" t="n">
        <v>15.01899</v>
      </c>
      <c r="R54" s="0" t="n">
        <v>16.38093</v>
      </c>
      <c r="S54" s="0" t="n">
        <v>16.40163</v>
      </c>
      <c r="T54" s="0" t="n">
        <v>16.85757</v>
      </c>
      <c r="U54" s="0" t="n">
        <v>16.51032</v>
      </c>
      <c r="V54" s="0" t="n">
        <v>16.7349</v>
      </c>
      <c r="W54" s="0" t="n">
        <v>16.10852</v>
      </c>
      <c r="X54" s="0" t="n">
        <v>15.92003</v>
      </c>
      <c r="Y54" s="0" t="n">
        <v>16.25344</v>
      </c>
      <c r="Z54" s="0" t="n">
        <v>15.77895</v>
      </c>
      <c r="AA54" s="0" t="n">
        <v>17.24079</v>
      </c>
      <c r="AB54" s="0" t="n">
        <v>17.32895</v>
      </c>
      <c r="AC54" s="0" t="n">
        <v>15.79847</v>
      </c>
      <c r="AD54" s="0" t="n">
        <v>16.8825</v>
      </c>
      <c r="AE54" s="0" t="n">
        <f aca="false">_xlfn.T.TEST(D54:J54,K54:W54,1,2)</f>
        <v>0.185216307928166</v>
      </c>
      <c r="AF54" s="0" t="n">
        <f aca="false">_xlfn.T.TEST(K54:W54,X54:AD54,1,2)</f>
        <v>0.248266918180567</v>
      </c>
      <c r="AG54" s="4" t="n">
        <f aca="false">_xlfn.T.TEST(D54:J54,X54:AD54,1,2)</f>
        <v>0.0436698459713245</v>
      </c>
      <c r="AH54" s="0" t="n">
        <v>0.417129838552655</v>
      </c>
    </row>
    <row r="55" customFormat="false" ht="15" hidden="false" customHeight="false" outlineLevel="0" collapsed="false">
      <c r="B55" s="0" t="s">
        <v>97</v>
      </c>
      <c r="D55" s="0" t="n">
        <v>18.66032</v>
      </c>
      <c r="E55" s="0" t="n">
        <v>17.82656</v>
      </c>
      <c r="F55" s="0" t="n">
        <v>19.42197</v>
      </c>
      <c r="G55" s="0" t="n">
        <v>19.27617</v>
      </c>
      <c r="H55" s="0" t="n">
        <v>20.62587</v>
      </c>
      <c r="I55" s="0" t="n">
        <v>18.1519</v>
      </c>
      <c r="J55" s="0" t="n">
        <v>19.53922</v>
      </c>
      <c r="K55" s="0" t="n">
        <v>19.53625</v>
      </c>
      <c r="L55" s="0" t="n">
        <v>17.47967</v>
      </c>
      <c r="M55" s="0" t="n">
        <v>20.21395</v>
      </c>
      <c r="N55" s="0" t="n">
        <v>16.55058</v>
      </c>
      <c r="O55" s="0" t="n">
        <v>18.65218</v>
      </c>
      <c r="P55" s="0" t="n">
        <v>20.26155</v>
      </c>
      <c r="Q55" s="0" t="n">
        <v>20.62444</v>
      </c>
      <c r="R55" s="0" t="n">
        <v>20.82065</v>
      </c>
      <c r="S55" s="0" t="n">
        <v>19.78689</v>
      </c>
      <c r="T55" s="0" t="n">
        <v>20.94664</v>
      </c>
      <c r="U55" s="0" t="n">
        <v>19.06397</v>
      </c>
      <c r="V55" s="0" t="n">
        <v>18.34178</v>
      </c>
      <c r="W55" s="0" t="n">
        <v>21.02147</v>
      </c>
      <c r="X55" s="0" t="n">
        <v>19.67342</v>
      </c>
      <c r="Y55" s="0" t="n">
        <v>20.95992</v>
      </c>
      <c r="Z55" s="0" t="n">
        <v>18.77748</v>
      </c>
      <c r="AA55" s="0" t="n">
        <v>20.11807</v>
      </c>
      <c r="AB55" s="0" t="n">
        <v>19.78933</v>
      </c>
      <c r="AC55" s="0" t="n">
        <v>20.39393</v>
      </c>
      <c r="AD55" s="0" t="n">
        <v>19.48251</v>
      </c>
      <c r="AE55" s="0" t="n">
        <f aca="false">_xlfn.T.TEST(D55:J55,K55:W55,1,2)</f>
        <v>0.248238401197544</v>
      </c>
      <c r="AF55" s="0" t="n">
        <f aca="false">_xlfn.T.TEST(K55:W55,X55:AD55,1,2)</f>
        <v>0.24540119857295</v>
      </c>
      <c r="AG55" s="4" t="n">
        <f aca="false">_xlfn.T.TEST(D55:J55,X55:AD55,1,2)</f>
        <v>0.0459297284533903</v>
      </c>
      <c r="AH55" s="0" t="n">
        <v>0.417207279972184</v>
      </c>
    </row>
    <row r="56" customFormat="false" ht="15" hidden="false" customHeight="false" outlineLevel="0" collapsed="false">
      <c r="A56" s="0" t="s">
        <v>461</v>
      </c>
      <c r="B56" s="0" t="s">
        <v>459</v>
      </c>
      <c r="C56" s="0" t="s">
        <v>460</v>
      </c>
      <c r="D56" s="0" t="n">
        <v>18.20366</v>
      </c>
      <c r="E56" s="0" t="n">
        <v>17.7198</v>
      </c>
      <c r="F56" s="0" t="n">
        <v>16.20067</v>
      </c>
      <c r="G56" s="0" t="n">
        <v>17.60545</v>
      </c>
      <c r="H56" s="0" t="n">
        <v>18.06071</v>
      </c>
      <c r="I56" s="0" t="n">
        <v>19.27846</v>
      </c>
      <c r="J56" s="0" t="n">
        <v>16.86677</v>
      </c>
      <c r="K56" s="0" t="n">
        <v>17.65166</v>
      </c>
      <c r="L56" s="0" t="n">
        <v>17.8114</v>
      </c>
      <c r="M56" s="0" t="n">
        <v>16.71733</v>
      </c>
      <c r="N56" s="0" t="n">
        <v>16.7264</v>
      </c>
      <c r="O56" s="0" t="n">
        <v>15.79791</v>
      </c>
      <c r="P56" s="0" t="n">
        <v>17.48589</v>
      </c>
      <c r="Q56" s="0" t="n">
        <v>17.25248</v>
      </c>
      <c r="R56" s="0" t="n">
        <v>15.63385</v>
      </c>
      <c r="S56" s="0" t="n">
        <v>17.5882</v>
      </c>
      <c r="T56" s="0" t="n">
        <v>17.87273</v>
      </c>
      <c r="U56" s="0" t="n">
        <v>18.25553</v>
      </c>
      <c r="V56" s="0" t="n">
        <v>17.20074</v>
      </c>
      <c r="W56" s="0" t="n">
        <v>17.40699</v>
      </c>
      <c r="X56" s="0" t="n">
        <v>18.42095</v>
      </c>
      <c r="Y56" s="0" t="n">
        <v>16.28697</v>
      </c>
      <c r="Z56" s="0" t="n">
        <v>17.11411</v>
      </c>
      <c r="AA56" s="0" t="n">
        <v>17.01618</v>
      </c>
      <c r="AB56" s="0" t="n">
        <v>17.42718</v>
      </c>
      <c r="AC56" s="0" t="n">
        <v>18.64058</v>
      </c>
      <c r="AD56" s="0" t="n">
        <v>17.10575</v>
      </c>
      <c r="AE56" s="0" t="n">
        <f aca="false">_xlfn.T.TEST(D56:J56,K56:W56,1,2)</f>
        <v>0.104995873077491</v>
      </c>
      <c r="AF56" s="0" t="n">
        <f aca="false">_xlfn.T.TEST(K56:W56,X56:AD56,1,2)</f>
        <v>0.259619791182379</v>
      </c>
      <c r="AG56" s="0" t="n">
        <f aca="false">_xlfn.T.TEST(D56:J56,X56:AD56,1,2)</f>
        <v>0.291423084514247</v>
      </c>
      <c r="AH56" s="0" t="n">
        <v>0.43230983221811</v>
      </c>
    </row>
    <row r="57" customFormat="false" ht="15" hidden="false" customHeight="false" outlineLevel="0" collapsed="false">
      <c r="A57" s="0" t="s">
        <v>498</v>
      </c>
      <c r="B57" s="0" t="s">
        <v>496</v>
      </c>
      <c r="C57" s="0" t="s">
        <v>497</v>
      </c>
      <c r="D57" s="0" t="n">
        <v>20.26671</v>
      </c>
      <c r="E57" s="0" t="n">
        <v>20.13132</v>
      </c>
      <c r="F57" s="0" t="n">
        <v>17.95094</v>
      </c>
      <c r="G57" s="0" t="n">
        <v>19.75483</v>
      </c>
      <c r="H57" s="0" t="n">
        <v>19.21466</v>
      </c>
      <c r="I57" s="0" t="n">
        <v>19.45565</v>
      </c>
      <c r="J57" s="0" t="n">
        <v>18.87352</v>
      </c>
      <c r="K57" s="0" t="n">
        <v>19.74292</v>
      </c>
      <c r="L57" s="0" t="n">
        <v>17.75708</v>
      </c>
      <c r="M57" s="0" t="n">
        <v>19.65941</v>
      </c>
      <c r="N57" s="0" t="n">
        <v>15.90448</v>
      </c>
      <c r="O57" s="0" t="n">
        <v>17.0927</v>
      </c>
      <c r="P57" s="0" t="n">
        <v>20.79503</v>
      </c>
      <c r="Q57" s="0" t="n">
        <v>19.18486</v>
      </c>
      <c r="R57" s="0" t="n">
        <v>18.45378</v>
      </c>
      <c r="S57" s="0" t="n">
        <v>21.40676</v>
      </c>
      <c r="T57" s="0" t="n">
        <v>20.62319</v>
      </c>
      <c r="U57" s="0" t="n">
        <v>19.52631</v>
      </c>
      <c r="V57" s="0" t="n">
        <v>19.06663</v>
      </c>
      <c r="W57" s="0" t="n">
        <v>21.17986</v>
      </c>
      <c r="X57" s="0" t="n">
        <v>21.31827</v>
      </c>
      <c r="Y57" s="0" t="n">
        <v>19.91931</v>
      </c>
      <c r="Z57" s="0" t="n">
        <v>20.35585</v>
      </c>
      <c r="AA57" s="0" t="n">
        <v>18.53283</v>
      </c>
      <c r="AB57" s="0" t="n">
        <v>21.40161</v>
      </c>
      <c r="AC57" s="0" t="n">
        <v>19.16862</v>
      </c>
      <c r="AD57" s="0" t="n">
        <v>19.02066</v>
      </c>
      <c r="AE57" s="0" t="n">
        <f aca="false">_xlfn.T.TEST(D57:J57,K57:W57,1,2)</f>
        <v>0.430528282243605</v>
      </c>
      <c r="AF57" s="0" t="n">
        <f aca="false">_xlfn.T.TEST(K57:W57,X57:AD57,1,2)</f>
        <v>0.163915292218859</v>
      </c>
      <c r="AG57" s="0" t="n">
        <f aca="false">_xlfn.T.TEST(D57:J57,X57:AD57,1,2)</f>
        <v>0.143662258038487</v>
      </c>
      <c r="AH57" s="0" t="n">
        <v>0.441041809492909</v>
      </c>
    </row>
    <row r="58" customFormat="false" ht="15" hidden="false" customHeight="false" outlineLevel="0" collapsed="false">
      <c r="A58" s="0" t="s">
        <v>419</v>
      </c>
      <c r="B58" s="0" t="s">
        <v>417</v>
      </c>
      <c r="C58" s="0" t="s">
        <v>418</v>
      </c>
      <c r="D58" s="0" t="n">
        <v>18.69374</v>
      </c>
      <c r="E58" s="0" t="n">
        <v>18.83356</v>
      </c>
      <c r="F58" s="0" t="n">
        <v>17.20275</v>
      </c>
      <c r="G58" s="0" t="n">
        <v>18.99206</v>
      </c>
      <c r="H58" s="0" t="n">
        <v>18.64969</v>
      </c>
      <c r="I58" s="0" t="n">
        <v>19.44982</v>
      </c>
      <c r="J58" s="0" t="n">
        <v>17.92515</v>
      </c>
      <c r="K58" s="0" t="n">
        <v>18.83334</v>
      </c>
      <c r="L58" s="0" t="n">
        <v>19.15613</v>
      </c>
      <c r="M58" s="0" t="n">
        <v>19.31374</v>
      </c>
      <c r="N58" s="0" t="n">
        <v>17.11717</v>
      </c>
      <c r="O58" s="0" t="n">
        <v>17.214</v>
      </c>
      <c r="P58" s="0" t="n">
        <v>18.70887</v>
      </c>
      <c r="Q58" s="0" t="n">
        <v>19.26568</v>
      </c>
      <c r="R58" s="0" t="n">
        <v>18.10564</v>
      </c>
      <c r="S58" s="0" t="n">
        <v>18.13996</v>
      </c>
      <c r="T58" s="0" t="n">
        <v>18.12182</v>
      </c>
      <c r="U58" s="0" t="n">
        <v>18.79893</v>
      </c>
      <c r="V58" s="0" t="n">
        <v>18.31026</v>
      </c>
      <c r="W58" s="0" t="n">
        <v>18.72371</v>
      </c>
      <c r="X58" s="0" t="n">
        <v>19.21904</v>
      </c>
      <c r="Y58" s="0" t="n">
        <v>18.92094</v>
      </c>
      <c r="Z58" s="0" t="n">
        <v>18.71028</v>
      </c>
      <c r="AA58" s="0" t="n">
        <v>18.35173</v>
      </c>
      <c r="AB58" s="0" t="n">
        <v>18.623</v>
      </c>
      <c r="AC58" s="0" t="n">
        <v>19.37173</v>
      </c>
      <c r="AD58" s="0" t="n">
        <v>18.09476</v>
      </c>
      <c r="AE58" s="0" t="n">
        <f aca="false">_xlfn.T.TEST(D58:J58,K58:W58,1,2)</f>
        <v>0.397964501312907</v>
      </c>
      <c r="AF58" s="0" t="n">
        <f aca="false">_xlfn.T.TEST(K58:W58,X58:AD58,1,2)</f>
        <v>0.155647579583403</v>
      </c>
      <c r="AG58" s="0" t="n">
        <f aca="false">_xlfn.T.TEST(D58:J58,X58:AD58,1,2)</f>
        <v>0.257888249002492</v>
      </c>
      <c r="AH58" s="0" t="n">
        <v>0.444636330770483</v>
      </c>
    </row>
    <row r="59" customFormat="false" ht="15" hidden="false" customHeight="false" outlineLevel="0" collapsed="false">
      <c r="A59" s="0" t="s">
        <v>209</v>
      </c>
      <c r="B59" s="0" t="s">
        <v>207</v>
      </c>
      <c r="C59" s="0" t="s">
        <v>208</v>
      </c>
      <c r="D59" s="0" t="n">
        <v>20.38469</v>
      </c>
      <c r="E59" s="0" t="n">
        <v>20.34906</v>
      </c>
      <c r="F59" s="0" t="n">
        <v>21.1045</v>
      </c>
      <c r="G59" s="0" t="n">
        <v>20.23888</v>
      </c>
      <c r="H59" s="0" t="n">
        <v>20.6747</v>
      </c>
      <c r="I59" s="0" t="n">
        <v>20.55618</v>
      </c>
      <c r="J59" s="0" t="n">
        <v>20.46971</v>
      </c>
      <c r="K59" s="0" t="n">
        <v>20.87433</v>
      </c>
      <c r="L59" s="0" t="n">
        <v>21.43365</v>
      </c>
      <c r="M59" s="0" t="n">
        <v>20.7376</v>
      </c>
      <c r="N59" s="0" t="n">
        <v>16.87171</v>
      </c>
      <c r="O59" s="0" t="n">
        <v>19.78668</v>
      </c>
      <c r="P59" s="0" t="n">
        <v>20.32828</v>
      </c>
      <c r="Q59" s="0" t="n">
        <v>21.94203</v>
      </c>
      <c r="R59" s="0" t="n">
        <v>20.6926</v>
      </c>
      <c r="S59" s="0" t="n">
        <v>20.07169</v>
      </c>
      <c r="T59" s="0" t="n">
        <v>20.78517</v>
      </c>
      <c r="U59" s="0" t="n">
        <v>20.72509</v>
      </c>
      <c r="V59" s="0" t="n">
        <v>20.64253</v>
      </c>
      <c r="W59" s="0" t="n">
        <v>20.84491</v>
      </c>
      <c r="X59" s="0" t="n">
        <v>21.05019</v>
      </c>
      <c r="Y59" s="0" t="n">
        <v>20.47833</v>
      </c>
      <c r="Z59" s="0" t="n">
        <v>21.41823</v>
      </c>
      <c r="AA59" s="0" t="n">
        <v>20.98545</v>
      </c>
      <c r="AB59" s="0" t="n">
        <v>21.12528</v>
      </c>
      <c r="AC59" s="0" t="n">
        <v>20.94421</v>
      </c>
      <c r="AD59" s="0" t="n">
        <v>20.60277</v>
      </c>
      <c r="AE59" s="0" t="n">
        <f aca="false">_xlfn.T.TEST(D59:J59,K59:W59,1,2)</f>
        <v>0.417561927677482</v>
      </c>
      <c r="AF59" s="0" t="n">
        <f aca="false">_xlfn.T.TEST(K59:W59,X59:AD59,1,2)</f>
        <v>0.148447524466064</v>
      </c>
      <c r="AG59" s="4" t="n">
        <f aca="false">_xlfn.T.TEST(D59:J59,X59:AD59,1,2)</f>
        <v>0.01400036145768</v>
      </c>
      <c r="AH59" s="0" t="n">
        <v>0.449664737210328</v>
      </c>
    </row>
    <row r="60" customFormat="false" ht="15" hidden="false" customHeight="false" outlineLevel="0" collapsed="false">
      <c r="A60" s="0" t="s">
        <v>495</v>
      </c>
      <c r="B60" s="0" t="s">
        <v>493</v>
      </c>
      <c r="C60" s="0" t="s">
        <v>494</v>
      </c>
      <c r="D60" s="0" t="n">
        <v>21.49135</v>
      </c>
      <c r="E60" s="0" t="n">
        <v>20.11502</v>
      </c>
      <c r="F60" s="0" t="n">
        <v>20.30486</v>
      </c>
      <c r="G60" s="0" t="n">
        <v>19.23084</v>
      </c>
      <c r="H60" s="0" t="n">
        <v>18.93206</v>
      </c>
      <c r="I60" s="0" t="n">
        <v>20.56941</v>
      </c>
      <c r="J60" s="0" t="n">
        <v>19.87584</v>
      </c>
      <c r="K60" s="0" t="n">
        <v>19.43194</v>
      </c>
      <c r="L60" s="0" t="n">
        <v>18.70401</v>
      </c>
      <c r="M60" s="0" t="n">
        <v>19.50182</v>
      </c>
      <c r="N60" s="0" t="n">
        <v>17.99551</v>
      </c>
      <c r="O60" s="0" t="n">
        <v>20.30541</v>
      </c>
      <c r="P60" s="0" t="n">
        <v>20.30341</v>
      </c>
      <c r="Q60" s="0" t="n">
        <v>21.5623</v>
      </c>
      <c r="R60" s="0" t="n">
        <v>20.28501</v>
      </c>
      <c r="S60" s="0" t="n">
        <v>21.19412</v>
      </c>
      <c r="T60" s="0" t="n">
        <v>20.55628</v>
      </c>
      <c r="U60" s="0" t="n">
        <v>19.97771</v>
      </c>
      <c r="V60" s="0" t="n">
        <v>18.31889</v>
      </c>
      <c r="W60" s="0" t="n">
        <v>21.36052</v>
      </c>
      <c r="X60" s="0" t="n">
        <v>22.45889</v>
      </c>
      <c r="Y60" s="0" t="n">
        <v>22.09555</v>
      </c>
      <c r="Z60" s="0" t="n">
        <v>20.08809</v>
      </c>
      <c r="AA60" s="0" t="n">
        <v>18.14086</v>
      </c>
      <c r="AB60" s="0" t="n">
        <v>21.33636</v>
      </c>
      <c r="AC60" s="0" t="n">
        <v>19.97337</v>
      </c>
      <c r="AD60" s="0" t="n">
        <v>18.02313</v>
      </c>
      <c r="AE60" s="0" t="n">
        <f aca="false">_xlfn.T.TEST(D60:J60,K60:W60,1,2)</f>
        <v>0.410343984663334</v>
      </c>
      <c r="AF60" s="0" t="n">
        <f aca="false">_xlfn.T.TEST(K60:W60,X60:AD60,1,2)</f>
        <v>0.302396795555664</v>
      </c>
      <c r="AG60" s="0" t="n">
        <f aca="false">_xlfn.T.TEST(D60:J60,X60:AD60,1,2)</f>
        <v>0.382368922266577</v>
      </c>
      <c r="AH60" s="0" t="n">
        <v>0.472072555765087</v>
      </c>
    </row>
    <row r="61" customFormat="false" ht="15" hidden="false" customHeight="false" outlineLevel="0" collapsed="false">
      <c r="A61" s="0" t="s">
        <v>472</v>
      </c>
      <c r="B61" s="0" t="s">
        <v>470</v>
      </c>
      <c r="C61" s="0" t="s">
        <v>471</v>
      </c>
      <c r="D61" s="0" t="n">
        <v>16.72294</v>
      </c>
      <c r="E61" s="0" t="n">
        <v>17.20762</v>
      </c>
      <c r="F61" s="0" t="n">
        <v>16.06933</v>
      </c>
      <c r="G61" s="0" t="n">
        <v>16.74255</v>
      </c>
      <c r="H61" s="0" t="n">
        <v>16.72813</v>
      </c>
      <c r="I61" s="0" t="n">
        <v>16.86979</v>
      </c>
      <c r="J61" s="0" t="n">
        <v>16.30706</v>
      </c>
      <c r="K61" s="0" t="n">
        <v>17.07096</v>
      </c>
      <c r="L61" s="0" t="n">
        <v>17.04473</v>
      </c>
      <c r="M61" s="0" t="n">
        <v>16.551</v>
      </c>
      <c r="N61" s="0" t="n">
        <v>16.54299</v>
      </c>
      <c r="O61" s="0" t="n">
        <v>16.5664</v>
      </c>
      <c r="P61" s="0" t="n">
        <v>16.7969</v>
      </c>
      <c r="Q61" s="0" t="n">
        <v>18.23949</v>
      </c>
      <c r="R61" s="0" t="n">
        <v>16.29385</v>
      </c>
      <c r="S61" s="0" t="n">
        <v>17.10738</v>
      </c>
      <c r="T61" s="0" t="n">
        <v>17.32034</v>
      </c>
      <c r="U61" s="0" t="n">
        <v>16.7086</v>
      </c>
      <c r="V61" s="0" t="n">
        <v>16.44239</v>
      </c>
      <c r="W61" s="0" t="n">
        <v>16.98415</v>
      </c>
      <c r="X61" s="0" t="n">
        <v>16.06617</v>
      </c>
      <c r="Y61" s="0" t="n">
        <v>17.40483</v>
      </c>
      <c r="Z61" s="0" t="n">
        <v>16.61367</v>
      </c>
      <c r="AA61" s="0" t="n">
        <v>16.67038</v>
      </c>
      <c r="AB61" s="0" t="n">
        <v>16.64188</v>
      </c>
      <c r="AC61" s="0" t="n">
        <v>16.76111</v>
      </c>
      <c r="AD61" s="0" t="n">
        <v>17.22769</v>
      </c>
      <c r="AE61" s="0" t="n">
        <f aca="false">_xlfn.T.TEST(D61:J61,K61:W61,1,2)</f>
        <v>0.148810884334225</v>
      </c>
      <c r="AF61" s="0" t="n">
        <f aca="false">_xlfn.T.TEST(K61:W61,X61:AD61,1,2)</f>
        <v>0.289418700275509</v>
      </c>
      <c r="AG61" s="0" t="n">
        <f aca="false">_xlfn.T.TEST(D61:J61,X61:AD61,1,2)</f>
        <v>0.318417835123533</v>
      </c>
      <c r="AH61" s="0" t="n">
        <v>0.478194083682262</v>
      </c>
    </row>
    <row r="62" customFormat="false" ht="15" hidden="false" customHeight="false" outlineLevel="0" collapsed="false">
      <c r="A62" s="0" t="s">
        <v>347</v>
      </c>
      <c r="B62" s="0" t="s">
        <v>345</v>
      </c>
      <c r="C62" s="0" t="s">
        <v>346</v>
      </c>
      <c r="D62" s="0" t="n">
        <v>21.77471</v>
      </c>
      <c r="E62" s="0" t="n">
        <v>21.30975</v>
      </c>
      <c r="F62" s="0" t="n">
        <v>18.8065</v>
      </c>
      <c r="G62" s="0" t="n">
        <v>21.0357</v>
      </c>
      <c r="H62" s="0" t="n">
        <v>20.91342</v>
      </c>
      <c r="I62" s="0" t="n">
        <v>22.11197</v>
      </c>
      <c r="J62" s="0" t="n">
        <v>21.82159</v>
      </c>
      <c r="K62" s="0" t="n">
        <v>22.5855</v>
      </c>
      <c r="L62" s="0" t="n">
        <v>21.0436</v>
      </c>
      <c r="M62" s="0" t="n">
        <v>21.86318</v>
      </c>
      <c r="N62" s="0" t="n">
        <v>16.90912</v>
      </c>
      <c r="O62" s="0" t="n">
        <v>21.80821</v>
      </c>
      <c r="P62" s="0" t="n">
        <v>22.72621</v>
      </c>
      <c r="Q62" s="0" t="n">
        <v>22.3315</v>
      </c>
      <c r="R62" s="0" t="n">
        <v>20.94213</v>
      </c>
      <c r="S62" s="0" t="n">
        <v>21.90224</v>
      </c>
      <c r="T62" s="0" t="n">
        <v>22.26029</v>
      </c>
      <c r="U62" s="0" t="n">
        <v>22.16082</v>
      </c>
      <c r="V62" s="0" t="n">
        <v>21.39074</v>
      </c>
      <c r="W62" s="0" t="n">
        <v>21.36014</v>
      </c>
      <c r="X62" s="0" t="n">
        <v>21.64192</v>
      </c>
      <c r="Y62" s="0" t="n">
        <v>22.07297</v>
      </c>
      <c r="Z62" s="0" t="n">
        <v>22.19484</v>
      </c>
      <c r="AA62" s="0" t="n">
        <v>21.88383</v>
      </c>
      <c r="AB62" s="0" t="n">
        <v>22.1061</v>
      </c>
      <c r="AC62" s="0" t="n">
        <v>21.74016</v>
      </c>
      <c r="AD62" s="0" t="n">
        <v>22.62344</v>
      </c>
      <c r="AE62" s="0" t="n">
        <f aca="false">_xlfn.T.TEST(D62:J62,K62:W62,1,2)</f>
        <v>0.28426694901533</v>
      </c>
      <c r="AF62" s="0" t="n">
        <f aca="false">_xlfn.T.TEST(K62:W62,X62:AD62,1,2)</f>
        <v>0.173777998275079</v>
      </c>
      <c r="AG62" s="4" t="n">
        <f aca="false">_xlfn.T.TEST(D62:J62,X62:AD62,1,2)</f>
        <v>0.0274608332920456</v>
      </c>
      <c r="AH62" s="0" t="n">
        <v>0.482500459272722</v>
      </c>
    </row>
    <row r="63" customFormat="false" ht="15" hidden="false" customHeight="false" outlineLevel="0" collapsed="false">
      <c r="A63" s="0" t="s">
        <v>333</v>
      </c>
      <c r="B63" s="0" t="s">
        <v>331</v>
      </c>
      <c r="C63" s="0" t="s">
        <v>332</v>
      </c>
      <c r="D63" s="0" t="n">
        <v>19.91624</v>
      </c>
      <c r="E63" s="0" t="n">
        <v>20.39571</v>
      </c>
      <c r="F63" s="0" t="n">
        <v>21.90588</v>
      </c>
      <c r="G63" s="0" t="n">
        <v>19.83254</v>
      </c>
      <c r="H63" s="0" t="n">
        <v>20.13069</v>
      </c>
      <c r="I63" s="0" t="n">
        <v>19.80431</v>
      </c>
      <c r="J63" s="0" t="n">
        <v>20.38795</v>
      </c>
      <c r="K63" s="0" t="n">
        <v>19.94192</v>
      </c>
      <c r="L63" s="0" t="n">
        <v>20.01468</v>
      </c>
      <c r="M63" s="0" t="n">
        <v>20.24412</v>
      </c>
      <c r="N63" s="0" t="n">
        <v>20.13721</v>
      </c>
      <c r="O63" s="0" t="n">
        <v>21.34218</v>
      </c>
      <c r="P63" s="0" t="n">
        <v>19.70423</v>
      </c>
      <c r="Q63" s="0" t="n">
        <v>20.92231</v>
      </c>
      <c r="R63" s="0" t="n">
        <v>20.42306</v>
      </c>
      <c r="S63" s="0" t="n">
        <v>19.52091</v>
      </c>
      <c r="T63" s="0" t="n">
        <v>20.10265</v>
      </c>
      <c r="U63" s="0" t="n">
        <v>19.53071</v>
      </c>
      <c r="V63" s="0" t="n">
        <v>20.00031</v>
      </c>
      <c r="W63" s="0" t="n">
        <v>19.88116</v>
      </c>
      <c r="X63" s="0" t="n">
        <v>19.91171</v>
      </c>
      <c r="Y63" s="0" t="n">
        <v>20.49804</v>
      </c>
      <c r="Z63" s="0" t="n">
        <v>19.82555</v>
      </c>
      <c r="AA63" s="0" t="n">
        <v>19.83929</v>
      </c>
      <c r="AB63" s="0" t="n">
        <v>19.51597</v>
      </c>
      <c r="AC63" s="0" t="n">
        <v>20.22729</v>
      </c>
      <c r="AD63" s="0" t="n">
        <v>19.78753</v>
      </c>
      <c r="AE63" s="0" t="n">
        <f aca="false">_xlfn.T.TEST(D63:J63,K63:W63,1,2)</f>
        <v>0.239293096287464</v>
      </c>
      <c r="AF63" s="0" t="n">
        <f aca="false">_xlfn.T.TEST(K63:W63,X63:AD63,1,2)</f>
        <v>0.193739788784378</v>
      </c>
      <c r="AG63" s="0" t="n">
        <f aca="false">_xlfn.T.TEST(D63:J63,X63:AD63,1,2)</f>
        <v>0.107905153235256</v>
      </c>
      <c r="AH63" s="0" t="n">
        <v>0.492648095375394</v>
      </c>
    </row>
    <row r="64" customFormat="false" ht="15" hidden="false" customHeight="false" outlineLevel="0" collapsed="false">
      <c r="A64" s="0" t="s">
        <v>427</v>
      </c>
      <c r="B64" s="0" t="s">
        <v>425</v>
      </c>
      <c r="C64" s="0" t="s">
        <v>426</v>
      </c>
      <c r="D64" s="0" t="n">
        <v>19.05309</v>
      </c>
      <c r="E64" s="0" t="n">
        <v>18.3067</v>
      </c>
      <c r="F64" s="0" t="n">
        <v>19.89893</v>
      </c>
      <c r="G64" s="0" t="n">
        <v>19.15867</v>
      </c>
      <c r="H64" s="0" t="n">
        <v>19.25153</v>
      </c>
      <c r="I64" s="0" t="n">
        <v>19.97673</v>
      </c>
      <c r="J64" s="0" t="n">
        <v>18.2627</v>
      </c>
      <c r="K64" s="0" t="n">
        <v>19.27401</v>
      </c>
      <c r="L64" s="0" t="n">
        <v>18.80275</v>
      </c>
      <c r="M64" s="0" t="n">
        <v>19.3735</v>
      </c>
      <c r="N64" s="0" t="n">
        <v>18.60816</v>
      </c>
      <c r="O64" s="0" t="n">
        <v>17.39908</v>
      </c>
      <c r="P64" s="0" t="n">
        <v>19.29296</v>
      </c>
      <c r="Q64" s="0" t="n">
        <v>20.33974</v>
      </c>
      <c r="R64" s="0" t="n">
        <v>17.87177</v>
      </c>
      <c r="S64" s="0" t="n">
        <v>19.06371</v>
      </c>
      <c r="T64" s="0" t="n">
        <v>18.97645</v>
      </c>
      <c r="U64" s="0" t="n">
        <v>19.09695</v>
      </c>
      <c r="V64" s="0" t="n">
        <v>18.6968</v>
      </c>
      <c r="W64" s="0" t="n">
        <v>19.09306</v>
      </c>
      <c r="X64" s="0" t="n">
        <v>18.79855</v>
      </c>
      <c r="Y64" s="0" t="n">
        <v>19.63263</v>
      </c>
      <c r="Z64" s="0" t="n">
        <v>19.12381</v>
      </c>
      <c r="AA64" s="0" t="n">
        <v>19.37303</v>
      </c>
      <c r="AB64" s="0" t="n">
        <v>19.45028</v>
      </c>
      <c r="AC64" s="0" t="n">
        <v>19.28184</v>
      </c>
      <c r="AD64" s="0" t="n">
        <v>19.45862</v>
      </c>
      <c r="AE64" s="0" t="n">
        <f aca="false">_xlfn.T.TEST(D64:J64,K64:W64,1,2)</f>
        <v>0.261069312082804</v>
      </c>
      <c r="AF64" s="0" t="n">
        <f aca="false">_xlfn.T.TEST(K64:W64,X64:AD64,1,2)</f>
        <v>0.0940178533809516</v>
      </c>
      <c r="AG64" s="0" t="n">
        <f aca="false">_xlfn.T.TEST(D64:J64,X64:AD64,1,2)</f>
        <v>0.271571051919017</v>
      </c>
      <c r="AH64" s="0" t="n">
        <v>0.493431559914352</v>
      </c>
    </row>
    <row r="65" customFormat="false" ht="15" hidden="false" customHeight="false" outlineLevel="0" collapsed="false">
      <c r="A65" s="0" t="s">
        <v>249</v>
      </c>
      <c r="B65" s="0" t="s">
        <v>247</v>
      </c>
      <c r="C65" s="0" t="s">
        <v>248</v>
      </c>
      <c r="D65" s="0" t="n">
        <v>20.54246</v>
      </c>
      <c r="E65" s="0" t="n">
        <v>20.40686</v>
      </c>
      <c r="F65" s="0" t="n">
        <v>21.06789</v>
      </c>
      <c r="G65" s="0" t="n">
        <v>20.84506</v>
      </c>
      <c r="H65" s="0" t="n">
        <v>21.19003</v>
      </c>
      <c r="I65" s="0" t="n">
        <v>21.0034</v>
      </c>
      <c r="J65" s="0" t="n">
        <v>21.07829</v>
      </c>
      <c r="K65" s="0" t="n">
        <v>20.59314</v>
      </c>
      <c r="L65" s="0" t="n">
        <v>20.35132</v>
      </c>
      <c r="M65" s="0" t="n">
        <v>21.07437</v>
      </c>
      <c r="N65" s="0" t="n">
        <v>20.7437</v>
      </c>
      <c r="O65" s="0" t="n">
        <v>21.42209</v>
      </c>
      <c r="P65" s="0" t="n">
        <v>20.89067</v>
      </c>
      <c r="Q65" s="0" t="n">
        <v>22.89628</v>
      </c>
      <c r="R65" s="0" t="n">
        <v>21.43919</v>
      </c>
      <c r="S65" s="0" t="n">
        <v>20.3978</v>
      </c>
      <c r="T65" s="0" t="n">
        <v>20.70083</v>
      </c>
      <c r="U65" s="0" t="n">
        <v>20.19629</v>
      </c>
      <c r="V65" s="0" t="n">
        <v>20.43665</v>
      </c>
      <c r="W65" s="0" t="n">
        <v>21.03322</v>
      </c>
      <c r="X65" s="0" t="n">
        <v>20.58756</v>
      </c>
      <c r="Y65" s="0" t="n">
        <v>20.02972</v>
      </c>
      <c r="Z65" s="0" t="n">
        <v>20.87912</v>
      </c>
      <c r="AA65" s="0" t="n">
        <v>20.68398</v>
      </c>
      <c r="AB65" s="0" t="n">
        <v>20.66232</v>
      </c>
      <c r="AC65" s="0" t="n">
        <v>20.83445</v>
      </c>
      <c r="AD65" s="0" t="n">
        <v>20.64456</v>
      </c>
      <c r="AE65" s="0" t="n">
        <f aca="false">_xlfn.T.TEST(D65:J65,K65:W65,1,2)</f>
        <v>0.416625541802753</v>
      </c>
      <c r="AF65" s="0" t="n">
        <f aca="false">_xlfn.T.TEST(K65:W65,X65:AD65,1,2)</f>
        <v>0.135495174574505</v>
      </c>
      <c r="AG65" s="0" t="n">
        <f aca="false">_xlfn.T.TEST(D65:J65,X65:AD65,1,2)</f>
        <v>0.0590992199761629</v>
      </c>
      <c r="AH65" s="0" t="n">
        <v>0.496370922349719</v>
      </c>
    </row>
    <row r="66" customFormat="false" ht="15" hidden="false" customHeight="false" outlineLevel="0" collapsed="false">
      <c r="A66" s="0" t="s">
        <v>158</v>
      </c>
      <c r="B66" s="0" t="s">
        <v>156</v>
      </c>
      <c r="C66" s="0" t="s">
        <v>157</v>
      </c>
      <c r="D66" s="0" t="n">
        <v>16.12541</v>
      </c>
      <c r="E66" s="0" t="n">
        <v>16.90006</v>
      </c>
      <c r="F66" s="0" t="n">
        <v>17.03099</v>
      </c>
      <c r="G66" s="0" t="n">
        <v>15.02486</v>
      </c>
      <c r="H66" s="0" t="n">
        <v>16.98904</v>
      </c>
      <c r="I66" s="0" t="n">
        <v>15.77646</v>
      </c>
      <c r="J66" s="0" t="n">
        <v>18.29415</v>
      </c>
      <c r="K66" s="0" t="n">
        <v>15.75437</v>
      </c>
      <c r="L66" s="0" t="n">
        <v>16.41272</v>
      </c>
      <c r="M66" s="0" t="n">
        <v>14.75822</v>
      </c>
      <c r="N66" s="0" t="n">
        <v>17.29572</v>
      </c>
      <c r="O66" s="0" t="n">
        <v>19.41316</v>
      </c>
      <c r="P66" s="0" t="n">
        <v>17.62842</v>
      </c>
      <c r="Q66" s="0" t="n">
        <v>15.48671</v>
      </c>
      <c r="R66" s="0" t="n">
        <v>19.30454</v>
      </c>
      <c r="S66" s="0" t="n">
        <v>16.48448</v>
      </c>
      <c r="T66" s="0" t="n">
        <v>18.06429</v>
      </c>
      <c r="U66" s="0" t="n">
        <v>17.4614</v>
      </c>
      <c r="V66" s="0" t="n">
        <v>16.18397</v>
      </c>
      <c r="W66" s="0" t="n">
        <v>15.61082</v>
      </c>
      <c r="X66" s="0" t="n">
        <v>17.39808</v>
      </c>
      <c r="Y66" s="0" t="n">
        <v>15.2811</v>
      </c>
      <c r="Z66" s="0" t="n">
        <v>15.6103</v>
      </c>
      <c r="AA66" s="0" t="n">
        <v>16.17245</v>
      </c>
      <c r="AB66" s="0" t="n">
        <v>16.9208</v>
      </c>
      <c r="AC66" s="0" t="n">
        <v>15.80577</v>
      </c>
      <c r="AD66" s="0" t="n">
        <v>15.01341</v>
      </c>
      <c r="AE66" s="0" t="n">
        <f aca="false">_xlfn.T.TEST(D66:J66,K66:W66,1,2)</f>
        <v>0.30604172518842</v>
      </c>
      <c r="AF66" s="0" t="n">
        <f aca="false">_xlfn.T.TEST(K66:W66,X66:AD66,1,2)</f>
        <v>0.0789657865417111</v>
      </c>
      <c r="AG66" s="0" t="n">
        <f aca="false">_xlfn.T.TEST(D66:J66,X66:AD66,1,2)</f>
        <v>0.148491706431304</v>
      </c>
      <c r="AH66" s="0" t="n">
        <v>0.504605187706669</v>
      </c>
    </row>
    <row r="67" customFormat="false" ht="15" hidden="false" customHeight="false" outlineLevel="0" collapsed="false">
      <c r="A67" s="0" t="s">
        <v>385</v>
      </c>
      <c r="B67" s="0" t="s">
        <v>383</v>
      </c>
      <c r="C67" s="0" t="s">
        <v>384</v>
      </c>
      <c r="D67" s="0" t="n">
        <v>17.30126</v>
      </c>
      <c r="E67" s="0" t="n">
        <v>18.09104</v>
      </c>
      <c r="F67" s="0" t="n">
        <v>17.72224</v>
      </c>
      <c r="G67" s="0" t="n">
        <v>17.90059</v>
      </c>
      <c r="H67" s="0" t="n">
        <v>18.5273</v>
      </c>
      <c r="I67" s="0" t="n">
        <v>17.38085</v>
      </c>
      <c r="J67" s="0" t="n">
        <v>17.97113</v>
      </c>
      <c r="K67" s="0" t="n">
        <v>18.27344</v>
      </c>
      <c r="L67" s="0" t="n">
        <v>17.78366</v>
      </c>
      <c r="M67" s="0" t="n">
        <v>16.74426</v>
      </c>
      <c r="N67" s="0" t="n">
        <v>16.89447</v>
      </c>
      <c r="O67" s="0" t="n">
        <v>17.16084</v>
      </c>
      <c r="P67" s="0" t="n">
        <v>18.77298</v>
      </c>
      <c r="Q67" s="0" t="n">
        <v>18.74383</v>
      </c>
      <c r="R67" s="0" t="n">
        <v>17.09959</v>
      </c>
      <c r="S67" s="0" t="n">
        <v>17.92526</v>
      </c>
      <c r="T67" s="0" t="n">
        <v>18.921</v>
      </c>
      <c r="U67" s="0" t="n">
        <v>17.80857</v>
      </c>
      <c r="V67" s="0" t="n">
        <v>17.92178</v>
      </c>
      <c r="W67" s="0" t="n">
        <v>17.75558</v>
      </c>
      <c r="X67" s="0" t="n">
        <v>18.82364</v>
      </c>
      <c r="Y67" s="0" t="n">
        <v>17.11604</v>
      </c>
      <c r="Z67" s="0" t="n">
        <v>18.57659</v>
      </c>
      <c r="AA67" s="0" t="n">
        <v>19.16221</v>
      </c>
      <c r="AB67" s="0" t="n">
        <v>19.24486</v>
      </c>
      <c r="AC67" s="0" t="n">
        <v>16.60001</v>
      </c>
      <c r="AD67" s="0" t="n">
        <v>19.21559</v>
      </c>
      <c r="AE67" s="0" t="n">
        <f aca="false">_xlfn.T.TEST(D67:J67,K67:W67,1,2)</f>
        <v>0.485603090902896</v>
      </c>
      <c r="AF67" s="0" t="n">
        <f aca="false">_xlfn.T.TEST(K67:W67,X67:AD67,1,2)</f>
        <v>0.0902136947522088</v>
      </c>
      <c r="AG67" s="0" t="n">
        <f aca="false">_xlfn.T.TEST(D67:J67,X67:AD67,1,2)</f>
        <v>0.117857705701972</v>
      </c>
      <c r="AH67" s="0" t="n">
        <v>0.511695266666836</v>
      </c>
    </row>
    <row r="68" customFormat="false" ht="15" hidden="false" customHeight="false" outlineLevel="0" collapsed="false">
      <c r="A68" s="0" t="s">
        <v>491</v>
      </c>
      <c r="B68" s="0" t="s">
        <v>489</v>
      </c>
      <c r="C68" s="0" t="s">
        <v>490</v>
      </c>
      <c r="D68" s="0" t="n">
        <v>15.27365</v>
      </c>
      <c r="E68" s="0" t="n">
        <v>14.9427</v>
      </c>
      <c r="F68" s="0" t="n">
        <v>16.32171</v>
      </c>
      <c r="G68" s="0" t="n">
        <v>14.21961</v>
      </c>
      <c r="H68" s="0" t="n">
        <v>14.85219</v>
      </c>
      <c r="I68" s="0" t="n">
        <v>15.31388</v>
      </c>
      <c r="J68" s="0" t="n">
        <v>15.24574</v>
      </c>
      <c r="K68" s="0" t="n">
        <v>15.05689</v>
      </c>
      <c r="L68" s="0" t="n">
        <v>15.55618</v>
      </c>
      <c r="M68" s="0" t="n">
        <v>15.01385</v>
      </c>
      <c r="N68" s="0" t="n">
        <v>16.79737</v>
      </c>
      <c r="O68" s="0" t="n">
        <v>14.66955</v>
      </c>
      <c r="P68" s="0" t="n">
        <v>15.05549</v>
      </c>
      <c r="Q68" s="0" t="n">
        <v>16.1135</v>
      </c>
      <c r="R68" s="0" t="n">
        <v>14.70444</v>
      </c>
      <c r="S68" s="0" t="n">
        <v>15.11553</v>
      </c>
      <c r="T68" s="0" t="n">
        <v>15.43352</v>
      </c>
      <c r="U68" s="0" t="n">
        <v>15.09086</v>
      </c>
      <c r="V68" s="0" t="n">
        <v>14.43723</v>
      </c>
      <c r="W68" s="0" t="n">
        <v>14.91579</v>
      </c>
      <c r="X68" s="0" t="n">
        <v>14.93852</v>
      </c>
      <c r="Y68" s="0" t="n">
        <v>14.69876</v>
      </c>
      <c r="Z68" s="0" t="n">
        <v>15.15604</v>
      </c>
      <c r="AA68" s="0" t="n">
        <v>14.78156</v>
      </c>
      <c r="AB68" s="0" t="n">
        <v>14.69659</v>
      </c>
      <c r="AC68" s="0" t="n">
        <v>15.14526</v>
      </c>
      <c r="AD68" s="0" t="n">
        <v>15.15506</v>
      </c>
      <c r="AE68" s="0" t="n">
        <f aca="false">_xlfn.T.TEST(D68:J68,K68:W68,1,2)</f>
        <v>0.420456682992608</v>
      </c>
      <c r="AF68" s="0" t="n">
        <f aca="false">_xlfn.T.TEST(K68:W68,X68:AD68,1,2)</f>
        <v>0.131514014561004</v>
      </c>
      <c r="AG68" s="0" t="n">
        <f aca="false">_xlfn.T.TEST(D68:J68,X68:AD68,1,2)</f>
        <v>0.192737393338766</v>
      </c>
      <c r="AH68" s="0" t="n">
        <v>0.516631879282338</v>
      </c>
    </row>
    <row r="69" customFormat="false" ht="15" hidden="false" customHeight="false" outlineLevel="0" collapsed="false">
      <c r="A69" s="0" t="s">
        <v>483</v>
      </c>
      <c r="B69" s="0" t="s">
        <v>481</v>
      </c>
      <c r="C69" s="0" t="s">
        <v>482</v>
      </c>
      <c r="D69" s="0" t="n">
        <v>19.30021</v>
      </c>
      <c r="E69" s="0" t="n">
        <v>20.39613</v>
      </c>
      <c r="F69" s="0" t="n">
        <v>21.44567</v>
      </c>
      <c r="G69" s="0" t="n">
        <v>19.55843</v>
      </c>
      <c r="H69" s="0" t="n">
        <v>20.11121</v>
      </c>
      <c r="I69" s="0" t="n">
        <v>20.26819</v>
      </c>
      <c r="J69" s="0" t="n">
        <v>19.60523</v>
      </c>
      <c r="K69" s="0" t="n">
        <v>19.7123</v>
      </c>
      <c r="L69" s="0" t="n">
        <v>19.70514</v>
      </c>
      <c r="M69" s="0" t="n">
        <v>20.4051</v>
      </c>
      <c r="N69" s="0" t="n">
        <v>16.57971</v>
      </c>
      <c r="O69" s="0" t="n">
        <v>20.17524</v>
      </c>
      <c r="P69" s="0" t="n">
        <v>19.83209</v>
      </c>
      <c r="Q69" s="0" t="n">
        <v>19.9549</v>
      </c>
      <c r="R69" s="0" t="n">
        <v>20.53535</v>
      </c>
      <c r="S69" s="0" t="n">
        <v>19.73359</v>
      </c>
      <c r="T69" s="0" t="n">
        <v>20.63272</v>
      </c>
      <c r="U69" s="0" t="n">
        <v>20.34299</v>
      </c>
      <c r="V69" s="0" t="n">
        <v>20.13044</v>
      </c>
      <c r="W69" s="0" t="n">
        <v>19.51916</v>
      </c>
      <c r="X69" s="0" t="n">
        <v>19.38389</v>
      </c>
      <c r="Y69" s="0" t="n">
        <v>20.85415</v>
      </c>
      <c r="Z69" s="0" t="n">
        <v>20.86575</v>
      </c>
      <c r="AA69" s="0" t="n">
        <v>20.46881</v>
      </c>
      <c r="AB69" s="0" t="n">
        <v>19.70337</v>
      </c>
      <c r="AC69" s="0" t="n">
        <v>20.27946</v>
      </c>
      <c r="AD69" s="0" t="n">
        <v>20.38427</v>
      </c>
      <c r="AE69" s="0" t="n">
        <f aca="false">_xlfn.T.TEST(D69:J69,K69:W69,1,2)</f>
        <v>0.245169798715555</v>
      </c>
      <c r="AF69" s="0" t="n">
        <f aca="false">_xlfn.T.TEST(K69:W69,X69:AD69,1,2)</f>
        <v>0.130609531356511</v>
      </c>
      <c r="AG69" s="0" t="n">
        <f aca="false">_xlfn.T.TEST(D69:J69,X69:AD69,1,2)</f>
        <v>0.305724226336076</v>
      </c>
      <c r="AH69" s="0" t="n">
        <v>0.516873100752991</v>
      </c>
    </row>
    <row r="70" customFormat="false" ht="15" hidden="false" customHeight="false" outlineLevel="0" collapsed="false">
      <c r="A70" s="0" t="s">
        <v>149</v>
      </c>
      <c r="B70" s="0" t="s">
        <v>147</v>
      </c>
      <c r="C70" s="0" t="s">
        <v>148</v>
      </c>
      <c r="D70" s="0" t="n">
        <v>16.03228</v>
      </c>
      <c r="E70" s="0" t="n">
        <v>15.68762</v>
      </c>
      <c r="F70" s="0" t="n">
        <v>17.02894</v>
      </c>
      <c r="G70" s="0" t="n">
        <v>15.65997</v>
      </c>
      <c r="H70" s="0" t="n">
        <v>16.28093</v>
      </c>
      <c r="I70" s="0" t="n">
        <v>16.10349</v>
      </c>
      <c r="J70" s="0" t="n">
        <v>16.72081</v>
      </c>
      <c r="K70" s="0" t="n">
        <v>16.28171</v>
      </c>
      <c r="L70" s="0" t="n">
        <v>16.09795</v>
      </c>
      <c r="M70" s="0" t="n">
        <v>16.60964</v>
      </c>
      <c r="N70" s="0" t="n">
        <v>16.20086</v>
      </c>
      <c r="O70" s="0" t="n">
        <v>19.20278</v>
      </c>
      <c r="P70" s="0" t="n">
        <v>17.40624</v>
      </c>
      <c r="Q70" s="0" t="n">
        <v>17.04921</v>
      </c>
      <c r="R70" s="0" t="n">
        <v>17.15116</v>
      </c>
      <c r="S70" s="0" t="n">
        <v>15.63594</v>
      </c>
      <c r="T70" s="0" t="n">
        <v>15.97578</v>
      </c>
      <c r="U70" s="0" t="n">
        <v>16.62856</v>
      </c>
      <c r="V70" s="0" t="n">
        <v>15.69675</v>
      </c>
      <c r="W70" s="0" t="n">
        <v>16.13777</v>
      </c>
      <c r="X70" s="0" t="n">
        <v>16.51595</v>
      </c>
      <c r="Y70" s="0" t="n">
        <v>16.00933</v>
      </c>
      <c r="Z70" s="0" t="n">
        <v>17.96753</v>
      </c>
      <c r="AA70" s="0" t="n">
        <v>18.1683</v>
      </c>
      <c r="AB70" s="0" t="n">
        <v>15.41858</v>
      </c>
      <c r="AC70" s="0" t="n">
        <v>16.34096</v>
      </c>
      <c r="AD70" s="0" t="n">
        <v>16.42789</v>
      </c>
      <c r="AE70" s="0" t="n">
        <f aca="false">_xlfn.T.TEST(D70:J70,K70:W70,1,2)</f>
        <v>0.155412951562618</v>
      </c>
      <c r="AF70" s="0" t="n">
        <f aca="false">_xlfn.T.TEST(K70:W70,X70:AD70,1,2)</f>
        <v>0.438310772372555</v>
      </c>
      <c r="AG70" s="0" t="n">
        <f aca="false">_xlfn.T.TEST(D70:J70,X70:AD70,1,2)</f>
        <v>0.143443265445742</v>
      </c>
      <c r="AH70" s="0" t="n">
        <v>0.527427781348257</v>
      </c>
    </row>
    <row r="71" customFormat="false" ht="15" hidden="false" customHeight="false" outlineLevel="0" collapsed="false">
      <c r="A71" s="0" t="s">
        <v>96</v>
      </c>
      <c r="B71" s="0" t="s">
        <v>94</v>
      </c>
      <c r="C71" s="0" t="s">
        <v>95</v>
      </c>
      <c r="D71" s="0" t="n">
        <v>16.61065</v>
      </c>
      <c r="E71" s="0" t="n">
        <v>14.98363</v>
      </c>
      <c r="F71" s="0" t="n">
        <v>15.13983</v>
      </c>
      <c r="G71" s="0" t="n">
        <v>15.87714</v>
      </c>
      <c r="H71" s="0" t="n">
        <v>16.34795</v>
      </c>
      <c r="I71" s="0" t="n">
        <v>18.04426</v>
      </c>
      <c r="J71" s="0" t="n">
        <v>15.84539</v>
      </c>
      <c r="K71" s="0" t="n">
        <v>14.24393</v>
      </c>
      <c r="L71" s="0" t="n">
        <v>15.52117</v>
      </c>
      <c r="M71" s="0" t="n">
        <v>17.70563</v>
      </c>
      <c r="N71" s="0" t="n">
        <v>17.93093</v>
      </c>
      <c r="O71" s="0" t="n">
        <v>13.40359</v>
      </c>
      <c r="P71" s="0" t="n">
        <v>12.58904</v>
      </c>
      <c r="Q71" s="0" t="n">
        <v>14.04388</v>
      </c>
      <c r="R71" s="0" t="n">
        <v>12.90914</v>
      </c>
      <c r="S71" s="0" t="n">
        <v>17.07243</v>
      </c>
      <c r="T71" s="0" t="n">
        <v>16.01094</v>
      </c>
      <c r="U71" s="0" t="n">
        <v>13.60968</v>
      </c>
      <c r="V71" s="0" t="n">
        <v>15.42859</v>
      </c>
      <c r="W71" s="0" t="n">
        <v>17.55577</v>
      </c>
      <c r="X71" s="0" t="n">
        <v>15.10579</v>
      </c>
      <c r="Y71" s="0" t="n">
        <v>13.73862</v>
      </c>
      <c r="Z71" s="0" t="n">
        <v>12.57185</v>
      </c>
      <c r="AA71" s="0" t="n">
        <v>16.74439</v>
      </c>
      <c r="AB71" s="0" t="n">
        <v>16.60876</v>
      </c>
      <c r="AC71" s="0" t="n">
        <v>17.26673</v>
      </c>
      <c r="AD71" s="0" t="n">
        <v>17.10575</v>
      </c>
      <c r="AE71" s="0" t="n">
        <f aca="false">_xlfn.T.TEST(D71:J71,K71:W71,1,2)</f>
        <v>0.135275151160557</v>
      </c>
      <c r="AF71" s="0" t="n">
        <f aca="false">_xlfn.T.TEST(K71:W71,X71:AD71,1,2)</f>
        <v>0.344613355433695</v>
      </c>
      <c r="AG71" s="0" t="n">
        <f aca="false">_xlfn.T.TEST(D71:J71,X71:AD71,1,2)</f>
        <v>0.259305954050448</v>
      </c>
      <c r="AH71" s="0" t="n">
        <v>0.534521376700601</v>
      </c>
    </row>
    <row r="72" customFormat="false" ht="15" hidden="false" customHeight="false" outlineLevel="0" collapsed="false">
      <c r="A72" s="0" t="s">
        <v>264</v>
      </c>
      <c r="B72" s="0" t="s">
        <v>262</v>
      </c>
      <c r="C72" s="0" t="s">
        <v>263</v>
      </c>
      <c r="D72" s="0" t="n">
        <v>18.31504</v>
      </c>
      <c r="E72" s="0" t="n">
        <v>20.07783</v>
      </c>
      <c r="F72" s="0" t="n">
        <v>17.49966</v>
      </c>
      <c r="G72" s="0" t="n">
        <v>19.1559</v>
      </c>
      <c r="H72" s="0" t="n">
        <v>18.97656</v>
      </c>
      <c r="I72" s="0" t="n">
        <v>19.77685</v>
      </c>
      <c r="J72" s="0" t="n">
        <v>20.19304</v>
      </c>
      <c r="K72" s="0" t="n">
        <v>18.53165</v>
      </c>
      <c r="L72" s="0" t="n">
        <v>18.81193</v>
      </c>
      <c r="M72" s="0" t="n">
        <v>19.28326</v>
      </c>
      <c r="N72" s="0" t="n">
        <v>16.58548</v>
      </c>
      <c r="O72" s="0" t="n">
        <v>20.17499</v>
      </c>
      <c r="P72" s="0" t="n">
        <v>17.88626</v>
      </c>
      <c r="Q72" s="0" t="n">
        <v>18.7341</v>
      </c>
      <c r="R72" s="0" t="n">
        <v>20.98447</v>
      </c>
      <c r="S72" s="0" t="n">
        <v>18.23776</v>
      </c>
      <c r="T72" s="0" t="n">
        <v>20.44748</v>
      </c>
      <c r="U72" s="0" t="n">
        <v>18.49306</v>
      </c>
      <c r="V72" s="0" t="n">
        <v>18.92486</v>
      </c>
      <c r="W72" s="0" t="n">
        <v>18.23271</v>
      </c>
      <c r="X72" s="0" t="n">
        <v>19.20034</v>
      </c>
      <c r="Y72" s="0" t="n">
        <v>19.44569</v>
      </c>
      <c r="Z72" s="0" t="n">
        <v>17.71579</v>
      </c>
      <c r="AA72" s="0" t="n">
        <v>18.41468</v>
      </c>
      <c r="AB72" s="0" t="n">
        <v>17.66456</v>
      </c>
      <c r="AC72" s="0" t="n">
        <v>18.62053</v>
      </c>
      <c r="AD72" s="0" t="n">
        <v>19.04634</v>
      </c>
      <c r="AE72" s="0" t="n">
        <f aca="false">_xlfn.T.TEST(D72:J72,K72:W72,1,2)</f>
        <v>0.303480678958858</v>
      </c>
      <c r="AF72" s="0" t="n">
        <f aca="false">_xlfn.T.TEST(K72:W72,X72:AD72,1,2)</f>
        <v>0.281384053366983</v>
      </c>
      <c r="AG72" s="0" t="n">
        <f aca="false">_xlfn.T.TEST(D72:J72,X72:AD72,1,2)</f>
        <v>0.123675570355225</v>
      </c>
      <c r="AH72" s="0" t="n">
        <v>0.555130757156701</v>
      </c>
    </row>
    <row r="73" customFormat="false" ht="15" hidden="false" customHeight="false" outlineLevel="0" collapsed="false">
      <c r="A73" s="0" t="s">
        <v>488</v>
      </c>
      <c r="B73" s="0" t="s">
        <v>486</v>
      </c>
      <c r="C73" s="0" t="s">
        <v>487</v>
      </c>
      <c r="D73" s="0" t="n">
        <v>14.03627</v>
      </c>
      <c r="E73" s="0" t="n">
        <v>16.23437</v>
      </c>
      <c r="F73" s="0" t="n">
        <v>15.82404</v>
      </c>
      <c r="G73" s="0" t="n">
        <v>16.35583</v>
      </c>
      <c r="H73" s="0" t="n">
        <v>15.86986</v>
      </c>
      <c r="I73" s="0" t="n">
        <v>16.44121</v>
      </c>
      <c r="J73" s="0" t="n">
        <v>17.02767</v>
      </c>
      <c r="K73" s="0" t="n">
        <v>16.0392</v>
      </c>
      <c r="L73" s="0" t="n">
        <v>16.06236</v>
      </c>
      <c r="M73" s="0" t="n">
        <v>17.07577</v>
      </c>
      <c r="N73" s="0" t="n">
        <v>16.35087</v>
      </c>
      <c r="O73" s="0" t="n">
        <v>15.3765</v>
      </c>
      <c r="P73" s="0" t="n">
        <v>16.54881</v>
      </c>
      <c r="Q73" s="0" t="n">
        <v>18.96972</v>
      </c>
      <c r="R73" s="0" t="n">
        <v>16.73899</v>
      </c>
      <c r="S73" s="0" t="n">
        <v>16.19608</v>
      </c>
      <c r="T73" s="0" t="n">
        <v>16.13847</v>
      </c>
      <c r="U73" s="0" t="n">
        <v>15.22479</v>
      </c>
      <c r="V73" s="0" t="n">
        <v>16.2546</v>
      </c>
      <c r="W73" s="0" t="n">
        <v>16.12475</v>
      </c>
      <c r="X73" s="0" t="n">
        <v>16.06767</v>
      </c>
      <c r="Y73" s="0" t="n">
        <v>15.63317</v>
      </c>
      <c r="Z73" s="0" t="n">
        <v>16.03006</v>
      </c>
      <c r="AA73" s="0" t="n">
        <v>16.36465</v>
      </c>
      <c r="AB73" s="0" t="n">
        <v>15.92766</v>
      </c>
      <c r="AC73" s="0" t="n">
        <v>16.99137</v>
      </c>
      <c r="AD73" s="0" t="n">
        <v>16.45659</v>
      </c>
      <c r="AE73" s="0" t="n">
        <f aca="false">_xlfn.T.TEST(D73:J73,K73:W73,1,2)</f>
        <v>0.1714763915516</v>
      </c>
      <c r="AF73" s="0" t="n">
        <f aca="false">_xlfn.T.TEST(K73:W73,X73:AD73,1,2)</f>
        <v>0.31437689547532</v>
      </c>
      <c r="AG73" s="0" t="n">
        <f aca="false">_xlfn.T.TEST(D73:J73,X73:AD73,1,2)</f>
        <v>0.276229733796037</v>
      </c>
      <c r="AH73" s="0" t="n">
        <v>0.565502914164218</v>
      </c>
    </row>
    <row r="74" customFormat="false" ht="15" hidden="false" customHeight="false" outlineLevel="0" collapsed="false">
      <c r="A74" s="0" t="s">
        <v>154</v>
      </c>
      <c r="B74" s="0" t="s">
        <v>152</v>
      </c>
      <c r="C74" s="0" t="s">
        <v>153</v>
      </c>
      <c r="D74" s="0" t="n">
        <v>16.95629</v>
      </c>
      <c r="E74" s="0" t="n">
        <v>16.00246</v>
      </c>
      <c r="F74" s="0" t="n">
        <v>17.58564</v>
      </c>
      <c r="G74" s="0" t="n">
        <v>15.39419</v>
      </c>
      <c r="H74" s="0" t="n">
        <v>17.23827</v>
      </c>
      <c r="I74" s="0" t="n">
        <v>17.4399</v>
      </c>
      <c r="J74" s="0" t="n">
        <v>16.17035</v>
      </c>
      <c r="K74" s="0" t="n">
        <v>17.10339</v>
      </c>
      <c r="L74" s="0" t="n">
        <v>16.02624</v>
      </c>
      <c r="M74" s="0" t="n">
        <v>16.28989</v>
      </c>
      <c r="N74" s="0" t="n">
        <v>16.82182</v>
      </c>
      <c r="O74" s="0" t="n">
        <v>18.67756</v>
      </c>
      <c r="P74" s="0" t="n">
        <v>17.41105</v>
      </c>
      <c r="Q74" s="0" t="n">
        <v>15.71272</v>
      </c>
      <c r="R74" s="0" t="n">
        <v>19.01463</v>
      </c>
      <c r="S74" s="0" t="n">
        <v>15.29311</v>
      </c>
      <c r="T74" s="0" t="n">
        <v>17.31946</v>
      </c>
      <c r="U74" s="0" t="n">
        <v>17.02583</v>
      </c>
      <c r="V74" s="0" t="n">
        <v>14.07038</v>
      </c>
      <c r="W74" s="0" t="n">
        <v>17.08254</v>
      </c>
      <c r="X74" s="0" t="n">
        <v>16.48946</v>
      </c>
      <c r="Y74" s="0" t="n">
        <v>16.72494</v>
      </c>
      <c r="Z74" s="0" t="n">
        <v>13.6196</v>
      </c>
      <c r="AA74" s="0" t="n">
        <v>16.07869</v>
      </c>
      <c r="AB74" s="0" t="n">
        <v>17.30804</v>
      </c>
      <c r="AC74" s="0" t="n">
        <v>16.60864</v>
      </c>
      <c r="AD74" s="0" t="n">
        <v>17.24739</v>
      </c>
      <c r="AE74" s="0" t="n">
        <f aca="false">_xlfn.T.TEST(D74:J74,K74:W74,1,2)</f>
        <v>0.447870018967644</v>
      </c>
      <c r="AF74" s="0" t="n">
        <f aca="false">_xlfn.T.TEST(K74:W74,X74:AD74,1,2)</f>
        <v>0.229907140646825</v>
      </c>
      <c r="AG74" s="0" t="n">
        <f aca="false">_xlfn.T.TEST(D74:J74,X74:AD74,1,2)</f>
        <v>0.254701211215191</v>
      </c>
      <c r="AH74" s="0" t="n">
        <v>0.57603093833426</v>
      </c>
    </row>
    <row r="75" customFormat="false" ht="15" hidden="false" customHeight="false" outlineLevel="0" collapsed="false">
      <c r="A75" s="0" t="s">
        <v>144</v>
      </c>
      <c r="B75" s="0" t="s">
        <v>142</v>
      </c>
      <c r="C75" s="0" t="s">
        <v>143</v>
      </c>
      <c r="D75" s="0" t="n">
        <v>17.15877</v>
      </c>
      <c r="E75" s="0" t="n">
        <v>17.60176</v>
      </c>
      <c r="F75" s="0" t="n">
        <v>16.15444</v>
      </c>
      <c r="G75" s="0" t="n">
        <v>17.25985</v>
      </c>
      <c r="H75" s="0" t="n">
        <v>17.74832</v>
      </c>
      <c r="I75" s="0" t="n">
        <v>17.93249</v>
      </c>
      <c r="J75" s="0" t="n">
        <v>17.18107</v>
      </c>
      <c r="K75" s="0" t="n">
        <v>17.38945</v>
      </c>
      <c r="L75" s="0" t="n">
        <v>16.68661</v>
      </c>
      <c r="M75" s="0" t="n">
        <v>17.40757</v>
      </c>
      <c r="N75" s="0" t="n">
        <v>16.70231</v>
      </c>
      <c r="O75" s="0" t="n">
        <v>16.21847</v>
      </c>
      <c r="P75" s="0" t="n">
        <v>17.58358</v>
      </c>
      <c r="Q75" s="0" t="n">
        <v>18.16212</v>
      </c>
      <c r="R75" s="0" t="n">
        <v>17.67927</v>
      </c>
      <c r="S75" s="0" t="n">
        <v>17.47959</v>
      </c>
      <c r="T75" s="0" t="n">
        <v>18.09661</v>
      </c>
      <c r="U75" s="0" t="n">
        <v>17.7604</v>
      </c>
      <c r="V75" s="0" t="n">
        <v>17.61274</v>
      </c>
      <c r="W75" s="0" t="n">
        <v>17.80423</v>
      </c>
      <c r="X75" s="0" t="n">
        <v>16.97656</v>
      </c>
      <c r="Y75" s="0" t="n">
        <v>17.23463</v>
      </c>
      <c r="Z75" s="0" t="n">
        <v>17.64223</v>
      </c>
      <c r="AA75" s="0" t="n">
        <v>18.02626</v>
      </c>
      <c r="AB75" s="0" t="n">
        <v>18.10011</v>
      </c>
      <c r="AC75" s="0" t="n">
        <v>17.68442</v>
      </c>
      <c r="AD75" s="0" t="n">
        <v>18.38406</v>
      </c>
      <c r="AE75" s="0" t="n">
        <f aca="false">_xlfn.T.TEST(D75:J75,K75:W75,1,2)</f>
        <v>0.306697551141907</v>
      </c>
      <c r="AF75" s="0" t="n">
        <f aca="false">_xlfn.T.TEST(K75:W75,X75:AD75,1,2)</f>
        <v>0.134937446356846</v>
      </c>
      <c r="AG75" s="0" t="n">
        <f aca="false">_xlfn.T.TEST(D75:J75,X75:AD75,1,2)</f>
        <v>0.0813682303273534</v>
      </c>
      <c r="AH75" s="0" t="n">
        <v>0.583793563792165</v>
      </c>
    </row>
    <row r="76" customFormat="false" ht="15" hidden="false" customHeight="false" outlineLevel="0" collapsed="false">
      <c r="A76" s="0" t="s">
        <v>515</v>
      </c>
      <c r="B76" s="0" t="s">
        <v>513</v>
      </c>
      <c r="C76" s="0" t="s">
        <v>514</v>
      </c>
      <c r="D76" s="0" t="n">
        <v>16.32722</v>
      </c>
      <c r="E76" s="0" t="n">
        <v>16.10183</v>
      </c>
      <c r="F76" s="0" t="n">
        <v>14.78937</v>
      </c>
      <c r="G76" s="0" t="n">
        <v>16.27159</v>
      </c>
      <c r="H76" s="0" t="n">
        <v>16.02721</v>
      </c>
      <c r="I76" s="0" t="n">
        <v>16.65088</v>
      </c>
      <c r="J76" s="0" t="n">
        <v>16.25211</v>
      </c>
      <c r="K76" s="0" t="n">
        <v>16.18045</v>
      </c>
      <c r="L76" s="0" t="n">
        <v>16.13835</v>
      </c>
      <c r="M76" s="0" t="n">
        <v>15.99199</v>
      </c>
      <c r="N76" s="0" t="n">
        <v>17.43068</v>
      </c>
      <c r="O76" s="0" t="n">
        <v>14.00168</v>
      </c>
      <c r="P76" s="0" t="n">
        <v>16.10836</v>
      </c>
      <c r="Q76" s="0" t="n">
        <v>14.61097</v>
      </c>
      <c r="R76" s="0" t="n">
        <v>15.41115</v>
      </c>
      <c r="S76" s="0" t="n">
        <v>15.70666</v>
      </c>
      <c r="T76" s="0" t="n">
        <v>15.75165</v>
      </c>
      <c r="U76" s="0" t="n">
        <v>15.85842</v>
      </c>
      <c r="V76" s="0" t="n">
        <v>15.64208</v>
      </c>
      <c r="W76" s="0" t="n">
        <v>16.15756</v>
      </c>
      <c r="X76" s="0" t="n">
        <v>15.70744</v>
      </c>
      <c r="Y76" s="0" t="n">
        <v>15.7028</v>
      </c>
      <c r="Z76" s="0" t="n">
        <v>16.02739</v>
      </c>
      <c r="AA76" s="0" t="n">
        <v>15.87135</v>
      </c>
      <c r="AB76" s="0" t="n">
        <v>16.3633</v>
      </c>
      <c r="AC76" s="0" t="n">
        <v>16.38494</v>
      </c>
      <c r="AD76" s="0" t="n">
        <v>16.51533</v>
      </c>
      <c r="AE76" s="0" t="n">
        <f aca="false">_xlfn.T.TEST(D76:J76,K76:W76,1,2)</f>
        <v>0.208891228242458</v>
      </c>
      <c r="AF76" s="0" t="n">
        <f aca="false">_xlfn.T.TEST(K76:W76,X76:AD76,1,2)</f>
        <v>0.174468861956656</v>
      </c>
      <c r="AG76" s="0" t="n">
        <f aca="false">_xlfn.T.TEST(D76:J76,X76:AD76,1,2)</f>
        <v>0.467165462438747</v>
      </c>
      <c r="AH76" s="0" t="n">
        <v>0.603232370798384</v>
      </c>
    </row>
    <row r="77" customFormat="false" ht="15" hidden="false" customHeight="false" outlineLevel="0" collapsed="false">
      <c r="A77" s="0" t="s">
        <v>255</v>
      </c>
      <c r="B77" s="0" t="s">
        <v>253</v>
      </c>
      <c r="C77" s="0" t="s">
        <v>254</v>
      </c>
      <c r="D77" s="0" t="n">
        <v>23.0731</v>
      </c>
      <c r="E77" s="0" t="n">
        <v>22.89008</v>
      </c>
      <c r="F77" s="0" t="n">
        <v>21.99009</v>
      </c>
      <c r="G77" s="0" t="n">
        <v>22.39011</v>
      </c>
      <c r="H77" s="0" t="n">
        <v>23.16099</v>
      </c>
      <c r="I77" s="0" t="n">
        <v>24.56982</v>
      </c>
      <c r="J77" s="0" t="n">
        <v>23.38706</v>
      </c>
      <c r="K77" s="0" t="n">
        <v>22.87564</v>
      </c>
      <c r="L77" s="0" t="n">
        <v>23.12002</v>
      </c>
      <c r="M77" s="0" t="n">
        <v>24.16576</v>
      </c>
      <c r="N77" s="0" t="n">
        <v>22.72526</v>
      </c>
      <c r="O77" s="0" t="n">
        <v>23.18681</v>
      </c>
      <c r="P77" s="0" t="n">
        <v>22.96342</v>
      </c>
      <c r="Q77" s="0" t="n">
        <v>24.82614</v>
      </c>
      <c r="R77" s="0" t="n">
        <v>23.77896</v>
      </c>
      <c r="S77" s="0" t="n">
        <v>23.44316</v>
      </c>
      <c r="T77" s="0" t="n">
        <v>23.01081</v>
      </c>
      <c r="U77" s="0" t="n">
        <v>23.14327</v>
      </c>
      <c r="V77" s="0" t="n">
        <v>22.73103</v>
      </c>
      <c r="W77" s="0" t="n">
        <v>24.21571</v>
      </c>
      <c r="X77" s="0" t="n">
        <v>24.48763</v>
      </c>
      <c r="Y77" s="0" t="n">
        <v>22.48075</v>
      </c>
      <c r="Z77" s="0" t="n">
        <v>22.89671</v>
      </c>
      <c r="AA77" s="0" t="n">
        <v>23.13146</v>
      </c>
      <c r="AB77" s="0" t="n">
        <v>23.21211</v>
      </c>
      <c r="AC77" s="0" t="n">
        <v>23.69487</v>
      </c>
      <c r="AD77" s="0" t="n">
        <v>23.14436</v>
      </c>
      <c r="AE77" s="0" t="n">
        <f aca="false">_xlfn.T.TEST(D77:J77,K77:W77,1,2)</f>
        <v>0.166266275197747</v>
      </c>
      <c r="AF77" s="0" t="n">
        <f aca="false">_xlfn.T.TEST(K77:W77,X77:AD77,1,2)</f>
        <v>0.365512648247341</v>
      </c>
      <c r="AG77" s="0" t="n">
        <f aca="false">_xlfn.T.TEST(D77:J77,X77:AD77,1,2)</f>
        <v>0.287271883625216</v>
      </c>
      <c r="AH77" s="0" t="n">
        <v>0.609393496860631</v>
      </c>
    </row>
    <row r="78" customFormat="false" ht="15" hidden="false" customHeight="false" outlineLevel="0" collapsed="false">
      <c r="A78" s="0" t="s">
        <v>86</v>
      </c>
      <c r="B78" s="0" t="s">
        <v>84</v>
      </c>
      <c r="C78" s="0" t="s">
        <v>85</v>
      </c>
      <c r="D78" s="0" t="n">
        <v>19.39253</v>
      </c>
      <c r="E78" s="0" t="n">
        <v>19.47756</v>
      </c>
      <c r="F78" s="0" t="n">
        <v>19.93905</v>
      </c>
      <c r="G78" s="0" t="n">
        <v>18.32219</v>
      </c>
      <c r="H78" s="0" t="n">
        <v>19.63738</v>
      </c>
      <c r="I78" s="0" t="n">
        <v>20.60359</v>
      </c>
      <c r="J78" s="0" t="n">
        <v>20.95971</v>
      </c>
      <c r="K78" s="0" t="n">
        <v>19.07648</v>
      </c>
      <c r="L78" s="0" t="n">
        <v>19.18473</v>
      </c>
      <c r="M78" s="0" t="n">
        <v>21.40899</v>
      </c>
      <c r="N78" s="0" t="n">
        <v>17.42318</v>
      </c>
      <c r="O78" s="0" t="n">
        <v>22.45513</v>
      </c>
      <c r="P78" s="0" t="n">
        <v>18.95109</v>
      </c>
      <c r="Q78" s="0" t="n">
        <v>20.83507</v>
      </c>
      <c r="R78" s="0" t="n">
        <v>23.04693</v>
      </c>
      <c r="S78" s="0" t="n">
        <v>20.28229</v>
      </c>
      <c r="T78" s="0" t="n">
        <v>19.67235</v>
      </c>
      <c r="U78" s="0" t="n">
        <v>19.30952</v>
      </c>
      <c r="V78" s="0" t="n">
        <v>19.21122</v>
      </c>
      <c r="W78" s="0" t="n">
        <v>20.68782</v>
      </c>
      <c r="X78" s="0" t="n">
        <v>20.08135</v>
      </c>
      <c r="Y78" s="0" t="n">
        <v>18.80707</v>
      </c>
      <c r="Z78" s="0" t="n">
        <v>18.76791</v>
      </c>
      <c r="AA78" s="0" t="n">
        <v>19.72745</v>
      </c>
      <c r="AB78" s="0" t="n">
        <v>19.00985</v>
      </c>
      <c r="AC78" s="0" t="n">
        <v>20.90124</v>
      </c>
      <c r="AD78" s="0" t="n">
        <v>19.30394</v>
      </c>
      <c r="AE78" s="0" t="n">
        <f aca="false">_xlfn.T.TEST(D78:J78,K78:W78,1,2)</f>
        <v>0.291194863782571</v>
      </c>
      <c r="AF78" s="0" t="n">
        <f aca="false">_xlfn.T.TEST(K78:W78,X78:AD78,1,2)</f>
        <v>0.17480355972292</v>
      </c>
      <c r="AG78" s="0" t="n">
        <f aca="false">_xlfn.T.TEST(D78:J78,X78:AD78,1,2)</f>
        <v>0.291939092496267</v>
      </c>
      <c r="AH78" s="0" t="n">
        <v>0.633753984976339</v>
      </c>
    </row>
    <row r="79" customFormat="false" ht="15" hidden="false" customHeight="false" outlineLevel="0" collapsed="false">
      <c r="A79" s="0" t="s">
        <v>64</v>
      </c>
      <c r="B79" s="0" t="s">
        <v>62</v>
      </c>
      <c r="C79" s="0" t="s">
        <v>63</v>
      </c>
      <c r="D79" s="0" t="n">
        <v>15.87918</v>
      </c>
      <c r="E79" s="0" t="n">
        <v>15.4086</v>
      </c>
      <c r="F79" s="0" t="n">
        <v>16.27893</v>
      </c>
      <c r="G79" s="0" t="n">
        <v>15.45346</v>
      </c>
      <c r="H79" s="0" t="n">
        <v>15.85138</v>
      </c>
      <c r="I79" s="0" t="n">
        <v>15.83197</v>
      </c>
      <c r="J79" s="0" t="n">
        <v>15.24526</v>
      </c>
      <c r="K79" s="0" t="n">
        <v>16.54622</v>
      </c>
      <c r="L79" s="0" t="n">
        <v>15.59794</v>
      </c>
      <c r="M79" s="0" t="n">
        <v>13.12144</v>
      </c>
      <c r="N79" s="0" t="n">
        <v>17.88687</v>
      </c>
      <c r="O79" s="0" t="n">
        <v>14.31111</v>
      </c>
      <c r="P79" s="0" t="n">
        <v>16.49953</v>
      </c>
      <c r="Q79" s="0" t="n">
        <v>16.02763</v>
      </c>
      <c r="R79" s="0" t="n">
        <v>14.4586</v>
      </c>
      <c r="S79" s="0" t="n">
        <v>15.88283</v>
      </c>
      <c r="T79" s="0" t="n">
        <v>16.35234</v>
      </c>
      <c r="U79" s="0" t="n">
        <v>16.59693</v>
      </c>
      <c r="V79" s="0" t="n">
        <v>15.99327</v>
      </c>
      <c r="W79" s="0" t="n">
        <v>15.82848</v>
      </c>
      <c r="X79" s="0" t="n">
        <v>17.33995</v>
      </c>
      <c r="Y79" s="0" t="n">
        <v>16.45958</v>
      </c>
      <c r="Z79" s="0" t="n">
        <v>15.57439</v>
      </c>
      <c r="AA79" s="0" t="n">
        <v>15.49217</v>
      </c>
      <c r="AB79" s="0" t="n">
        <v>16.91064</v>
      </c>
      <c r="AC79" s="0" t="n">
        <v>15.31409</v>
      </c>
      <c r="AD79" s="0" t="n">
        <v>16.78251</v>
      </c>
      <c r="AE79" s="0" t="n">
        <f aca="false">_xlfn.T.TEST(D79:J79,K79:W79,1,2)</f>
        <v>0.441988973237278</v>
      </c>
      <c r="AF79" s="0" t="n">
        <f aca="false">_xlfn.T.TEST(K79:W79,X79:AD79,1,2)</f>
        <v>0.175672297433451</v>
      </c>
      <c r="AG79" s="0" t="n">
        <f aca="false">_xlfn.T.TEST(D79:J79,X79:AD79,1,2)</f>
        <v>0.0582986837778671</v>
      </c>
      <c r="AH79" s="0" t="n">
        <v>0.638942302299322</v>
      </c>
    </row>
    <row r="80" customFormat="false" ht="15" hidden="false" customHeight="false" outlineLevel="0" collapsed="false">
      <c r="A80" s="0" t="s">
        <v>292</v>
      </c>
      <c r="B80" s="0" t="s">
        <v>290</v>
      </c>
      <c r="C80" s="0" t="s">
        <v>291</v>
      </c>
      <c r="D80" s="0" t="n">
        <v>16.9741</v>
      </c>
      <c r="E80" s="0" t="n">
        <v>19.88426</v>
      </c>
      <c r="F80" s="0" t="n">
        <v>16.87385</v>
      </c>
      <c r="G80" s="0" t="n">
        <v>17.74116</v>
      </c>
      <c r="H80" s="0" t="n">
        <v>18.40037</v>
      </c>
      <c r="I80" s="0" t="n">
        <v>18.50916</v>
      </c>
      <c r="J80" s="0" t="n">
        <v>18.14251</v>
      </c>
      <c r="K80" s="0" t="n">
        <v>18.4184</v>
      </c>
      <c r="L80" s="0" t="n">
        <v>17.21267</v>
      </c>
      <c r="M80" s="0" t="n">
        <v>18.50013</v>
      </c>
      <c r="N80" s="0" t="n">
        <v>16.88686</v>
      </c>
      <c r="O80" s="0" t="n">
        <v>17.94369</v>
      </c>
      <c r="P80" s="0" t="n">
        <v>19.01269</v>
      </c>
      <c r="Q80" s="0" t="n">
        <v>20.52736</v>
      </c>
      <c r="R80" s="0" t="n">
        <v>18.86236</v>
      </c>
      <c r="S80" s="0" t="n">
        <v>17.88572</v>
      </c>
      <c r="T80" s="0" t="n">
        <v>18.91567</v>
      </c>
      <c r="U80" s="0" t="n">
        <v>18.51438</v>
      </c>
      <c r="V80" s="0" t="n">
        <v>18.44399</v>
      </c>
      <c r="W80" s="0" t="n">
        <v>18.77208</v>
      </c>
      <c r="X80" s="0" t="n">
        <v>17.44119</v>
      </c>
      <c r="Y80" s="0" t="n">
        <v>18.08312</v>
      </c>
      <c r="Z80" s="0" t="n">
        <v>18.88316</v>
      </c>
      <c r="AA80" s="0" t="n">
        <v>19.10947</v>
      </c>
      <c r="AB80" s="0" t="n">
        <v>18.97953</v>
      </c>
      <c r="AC80" s="0" t="n">
        <v>18.13486</v>
      </c>
      <c r="AD80" s="0" t="n">
        <v>18.9131</v>
      </c>
      <c r="AE80" s="0" t="n">
        <f aca="false">_xlfn.T.TEST(D80:J80,K80:W80,1,2)</f>
        <v>0.201673321802283</v>
      </c>
      <c r="AF80" s="0" t="n">
        <f aca="false">_xlfn.T.TEST(K80:W80,X80:AD80,1,2)</f>
        <v>0.445959802361845</v>
      </c>
      <c r="AG80" s="0" t="n">
        <f aca="false">_xlfn.T.TEST(D80:J80,X80:AD80,1,2)</f>
        <v>0.180812983389012</v>
      </c>
      <c r="AH80" s="0" t="n">
        <v>0.641399860801283</v>
      </c>
    </row>
    <row r="81" customFormat="false" ht="15" hidden="false" customHeight="false" outlineLevel="0" collapsed="false">
      <c r="A81" s="0" t="s">
        <v>479</v>
      </c>
      <c r="B81" s="0" t="s">
        <v>477</v>
      </c>
      <c r="C81" s="0" t="s">
        <v>478</v>
      </c>
      <c r="D81" s="0" t="n">
        <v>17.16516</v>
      </c>
      <c r="E81" s="0" t="n">
        <v>17.9255</v>
      </c>
      <c r="F81" s="0" t="n">
        <v>17.80719</v>
      </c>
      <c r="G81" s="0" t="n">
        <v>16.79259</v>
      </c>
      <c r="H81" s="0" t="n">
        <v>17.27258</v>
      </c>
      <c r="I81" s="0" t="n">
        <v>17.52183</v>
      </c>
      <c r="J81" s="0" t="n">
        <v>17.32825</v>
      </c>
      <c r="K81" s="0" t="n">
        <v>17.14629</v>
      </c>
      <c r="L81" s="0" t="n">
        <v>18.02329</v>
      </c>
      <c r="M81" s="0" t="n">
        <v>17.75022</v>
      </c>
      <c r="N81" s="0" t="n">
        <v>17.73167</v>
      </c>
      <c r="O81" s="0" t="n">
        <v>17.22844</v>
      </c>
      <c r="P81" s="0" t="n">
        <v>17.34334</v>
      </c>
      <c r="Q81" s="0" t="n">
        <v>19.8525</v>
      </c>
      <c r="R81" s="0" t="n">
        <v>17.75218</v>
      </c>
      <c r="S81" s="0" t="n">
        <v>17.04292</v>
      </c>
      <c r="T81" s="0" t="n">
        <v>17.69316</v>
      </c>
      <c r="U81" s="0" t="n">
        <v>17.49436</v>
      </c>
      <c r="V81" s="0" t="n">
        <v>17.01171</v>
      </c>
      <c r="W81" s="0" t="n">
        <v>17.60617</v>
      </c>
      <c r="X81" s="0" t="n">
        <v>17.89971</v>
      </c>
      <c r="Y81" s="0" t="n">
        <v>17.40183</v>
      </c>
      <c r="Z81" s="0" t="n">
        <v>18.25792</v>
      </c>
      <c r="AA81" s="0" t="n">
        <v>17.26984</v>
      </c>
      <c r="AB81" s="0" t="n">
        <v>16.845</v>
      </c>
      <c r="AC81" s="0" t="n">
        <v>17.83855</v>
      </c>
      <c r="AD81" s="0" t="n">
        <v>16.42721</v>
      </c>
      <c r="AE81" s="0" t="n">
        <f aca="false">_xlfn.T.TEST(D81:J81,K81:W81,1,2)</f>
        <v>0.191884366153221</v>
      </c>
      <c r="AF81" s="0" t="n">
        <f aca="false">_xlfn.T.TEST(K81:W81,X81:AD81,1,2)</f>
        <v>0.229954958138081</v>
      </c>
      <c r="AG81" s="0" t="n">
        <f aca="false">_xlfn.T.TEST(D81:J81,X81:AD81,1,2)</f>
        <v>0.47492170810254</v>
      </c>
      <c r="AH81" s="0" t="n">
        <v>0.653950770327249</v>
      </c>
    </row>
    <row r="82" customFormat="false" ht="15" hidden="false" customHeight="false" outlineLevel="0" collapsed="false">
      <c r="A82" s="0" t="s">
        <v>509</v>
      </c>
      <c r="B82" s="0" t="s">
        <v>507</v>
      </c>
      <c r="C82" s="0" t="s">
        <v>508</v>
      </c>
      <c r="D82" s="0" t="n">
        <v>14.64954</v>
      </c>
      <c r="E82" s="0" t="n">
        <v>16.02671</v>
      </c>
      <c r="F82" s="0" t="n">
        <v>14.68657</v>
      </c>
      <c r="G82" s="0" t="n">
        <v>15.58908</v>
      </c>
      <c r="H82" s="0" t="n">
        <v>14.45475</v>
      </c>
      <c r="I82" s="0" t="n">
        <v>14.6135</v>
      </c>
      <c r="J82" s="0" t="n">
        <v>14.05858</v>
      </c>
      <c r="K82" s="0" t="n">
        <v>14.81573</v>
      </c>
      <c r="L82" s="0" t="n">
        <v>13.54959</v>
      </c>
      <c r="M82" s="0" t="n">
        <v>14.68332</v>
      </c>
      <c r="N82" s="0" t="n">
        <v>16.03515</v>
      </c>
      <c r="O82" s="0" t="n">
        <v>13.98735</v>
      </c>
      <c r="P82" s="0" t="n">
        <v>15.00584</v>
      </c>
      <c r="Q82" s="0" t="n">
        <v>17.6197</v>
      </c>
      <c r="R82" s="0" t="n">
        <v>16.09651</v>
      </c>
      <c r="S82" s="0" t="n">
        <v>14.34117</v>
      </c>
      <c r="T82" s="0" t="n">
        <v>14.94645</v>
      </c>
      <c r="U82" s="0" t="n">
        <v>14.47814</v>
      </c>
      <c r="V82" s="0" t="n">
        <v>14.57772</v>
      </c>
      <c r="W82" s="0" t="n">
        <v>14.66334</v>
      </c>
      <c r="X82" s="0" t="n">
        <v>14.71317</v>
      </c>
      <c r="Y82" s="0" t="n">
        <v>14.74426</v>
      </c>
      <c r="Z82" s="0" t="n">
        <v>14.20603</v>
      </c>
      <c r="AA82" s="0" t="n">
        <v>14.17859</v>
      </c>
      <c r="AB82" s="0" t="n">
        <v>14.69566</v>
      </c>
      <c r="AC82" s="0" t="n">
        <v>15.07803</v>
      </c>
      <c r="AD82" s="0" t="n">
        <v>15.22079</v>
      </c>
      <c r="AE82" s="0" t="n">
        <f aca="false">_xlfn.T.TEST(D82:J82,K82:W82,1,2)</f>
        <v>0.398500049255917</v>
      </c>
      <c r="AF82" s="0" t="n">
        <f aca="false">_xlfn.T.TEST(K82:W82,X82:AD82,1,2)</f>
        <v>0.24579541920452</v>
      </c>
      <c r="AG82" s="0" t="n">
        <f aca="false">_xlfn.T.TEST(D82:J82,X82:AD82,1,2)</f>
        <v>0.282204457972052</v>
      </c>
      <c r="AH82" s="0" t="n">
        <v>0.668887543902048</v>
      </c>
    </row>
    <row r="83" customFormat="false" ht="15" hidden="false" customHeight="false" outlineLevel="0" collapsed="false">
      <c r="A83" s="0" t="s">
        <v>131</v>
      </c>
      <c r="B83" s="0" t="s">
        <v>129</v>
      </c>
      <c r="C83" s="0" t="s">
        <v>130</v>
      </c>
      <c r="D83" s="0" t="n">
        <v>14.48834</v>
      </c>
      <c r="E83" s="0" t="n">
        <v>14.79299</v>
      </c>
      <c r="F83" s="0" t="n">
        <v>16.01837</v>
      </c>
      <c r="G83" s="0" t="n">
        <v>15.02756</v>
      </c>
      <c r="H83" s="0" t="n">
        <v>14.68212</v>
      </c>
      <c r="I83" s="0" t="n">
        <v>14.80438</v>
      </c>
      <c r="J83" s="0" t="n">
        <v>14.2246</v>
      </c>
      <c r="K83" s="0" t="n">
        <v>14.342</v>
      </c>
      <c r="L83" s="0" t="n">
        <v>14.30705</v>
      </c>
      <c r="M83" s="0" t="n">
        <v>15.38245</v>
      </c>
      <c r="N83" s="0" t="n">
        <v>17.54364</v>
      </c>
      <c r="O83" s="0" t="n">
        <v>14.0467</v>
      </c>
      <c r="P83" s="0" t="n">
        <v>16.61886</v>
      </c>
      <c r="Q83" s="0" t="n">
        <v>13.89983</v>
      </c>
      <c r="R83" s="0" t="n">
        <v>14.01985</v>
      </c>
      <c r="S83" s="0" t="n">
        <v>14.31897</v>
      </c>
      <c r="T83" s="0" t="n">
        <v>14.57784</v>
      </c>
      <c r="U83" s="0" t="n">
        <v>14.74599</v>
      </c>
      <c r="V83" s="0" t="n">
        <v>14.51668</v>
      </c>
      <c r="W83" s="0" t="n">
        <v>14.63923</v>
      </c>
      <c r="X83" s="0" t="n">
        <v>14.78979</v>
      </c>
      <c r="Y83" s="0" t="n">
        <v>14.30064</v>
      </c>
      <c r="Z83" s="0" t="n">
        <v>14.61909</v>
      </c>
      <c r="AA83" s="0" t="n">
        <v>14.26539</v>
      </c>
      <c r="AB83" s="0" t="n">
        <v>14.21105</v>
      </c>
      <c r="AC83" s="0" t="n">
        <v>14.82242</v>
      </c>
      <c r="AD83" s="0" t="n">
        <v>14.75578</v>
      </c>
      <c r="AE83" s="0" t="n">
        <f aca="false">_xlfn.T.TEST(D83:J83,K83:W83,1,2)</f>
        <v>0.482507133116653</v>
      </c>
      <c r="AF83" s="0" t="n">
        <f aca="false">_xlfn.T.TEST(K83:W83,X83:AD83,1,2)</f>
        <v>0.238101690589864</v>
      </c>
      <c r="AG83" s="0" t="n">
        <f aca="false">_xlfn.T.TEST(D83:J83,X83:AD83,1,2)</f>
        <v>0.09897852618372</v>
      </c>
      <c r="AH83" s="0" t="n">
        <v>0.677252386597782</v>
      </c>
    </row>
    <row r="84" customFormat="false" ht="15" hidden="false" customHeight="false" outlineLevel="0" collapsed="false">
      <c r="A84" s="0" t="s">
        <v>252</v>
      </c>
      <c r="B84" s="0" t="s">
        <v>250</v>
      </c>
      <c r="C84" s="0" t="s">
        <v>251</v>
      </c>
      <c r="D84" s="0" t="n">
        <v>22.70068</v>
      </c>
      <c r="E84" s="0" t="n">
        <v>21.59541</v>
      </c>
      <c r="F84" s="0" t="n">
        <v>21.62912</v>
      </c>
      <c r="G84" s="0" t="n">
        <v>21.33107</v>
      </c>
      <c r="H84" s="0" t="n">
        <v>22.13486</v>
      </c>
      <c r="I84" s="0" t="n">
        <v>23.328</v>
      </c>
      <c r="J84" s="0" t="n">
        <v>21.96965</v>
      </c>
      <c r="K84" s="0" t="n">
        <v>22.10913</v>
      </c>
      <c r="L84" s="0" t="n">
        <v>22.57008</v>
      </c>
      <c r="M84" s="0" t="n">
        <v>22.52485</v>
      </c>
      <c r="N84" s="0" t="n">
        <v>21.93966</v>
      </c>
      <c r="O84" s="0" t="n">
        <v>21.22282</v>
      </c>
      <c r="P84" s="0" t="n">
        <v>22.12553</v>
      </c>
      <c r="Q84" s="0" t="n">
        <v>23.70398</v>
      </c>
      <c r="R84" s="0" t="n">
        <v>22.16205</v>
      </c>
      <c r="S84" s="0" t="n">
        <v>22.38903</v>
      </c>
      <c r="T84" s="0" t="n">
        <v>22.26106</v>
      </c>
      <c r="U84" s="0" t="n">
        <v>21.91681</v>
      </c>
      <c r="V84" s="0" t="n">
        <v>21.98252</v>
      </c>
      <c r="W84" s="0" t="n">
        <v>23.33456</v>
      </c>
      <c r="X84" s="0" t="n">
        <v>22.32031</v>
      </c>
      <c r="Y84" s="0" t="n">
        <v>22.92072</v>
      </c>
      <c r="Z84" s="0" t="n">
        <v>21.9545</v>
      </c>
      <c r="AA84" s="0" t="n">
        <v>22.14046</v>
      </c>
      <c r="AB84" s="0" t="n">
        <v>22.18386</v>
      </c>
      <c r="AC84" s="0" t="n">
        <v>22.54442</v>
      </c>
      <c r="AD84" s="0" t="n">
        <v>21.9369</v>
      </c>
      <c r="AE84" s="0" t="n">
        <f aca="false">_xlfn.T.TEST(D84:J84,K84:W84,1,2)</f>
        <v>0.234063304314424</v>
      </c>
      <c r="AF84" s="0" t="n">
        <f aca="false">_xlfn.T.TEST(K84:W84,X84:AD84,1,2)</f>
        <v>0.439003491124192</v>
      </c>
      <c r="AG84" s="0" t="n">
        <f aca="false">_xlfn.T.TEST(D84:J84,X84:AD84,1,2)</f>
        <v>0.26942418179769</v>
      </c>
      <c r="AH84" s="0" t="n">
        <v>0.683696226713998</v>
      </c>
    </row>
    <row r="85" customFormat="false" ht="15" hidden="false" customHeight="false" outlineLevel="0" collapsed="false">
      <c r="A85" s="0" t="s">
        <v>519</v>
      </c>
      <c r="B85" s="0" t="s">
        <v>517</v>
      </c>
      <c r="C85" s="0" t="s">
        <v>518</v>
      </c>
      <c r="D85" s="0" t="n">
        <v>16.47041</v>
      </c>
      <c r="E85" s="0" t="n">
        <v>18.26109</v>
      </c>
      <c r="F85" s="0" t="n">
        <v>19.69787</v>
      </c>
      <c r="G85" s="0" t="n">
        <v>18.0626</v>
      </c>
      <c r="H85" s="0" t="n">
        <v>17.51507</v>
      </c>
      <c r="I85" s="0" t="n">
        <v>19.6221</v>
      </c>
      <c r="J85" s="0" t="n">
        <v>18.3708</v>
      </c>
      <c r="K85" s="0" t="n">
        <v>19.36359</v>
      </c>
      <c r="L85" s="0" t="n">
        <v>18.44924</v>
      </c>
      <c r="M85" s="0" t="n">
        <v>17.7194</v>
      </c>
      <c r="N85" s="0" t="n">
        <v>16.5747</v>
      </c>
      <c r="O85" s="0" t="n">
        <v>18.188</v>
      </c>
      <c r="P85" s="0" t="n">
        <v>16.25045</v>
      </c>
      <c r="Q85" s="0" t="n">
        <v>18.8025</v>
      </c>
      <c r="R85" s="0" t="n">
        <v>17.788</v>
      </c>
      <c r="S85" s="0" t="n">
        <v>19.53602</v>
      </c>
      <c r="T85" s="0" t="n">
        <v>20.63485</v>
      </c>
      <c r="U85" s="0" t="n">
        <v>19.815</v>
      </c>
      <c r="V85" s="0" t="n">
        <v>17.4193</v>
      </c>
      <c r="W85" s="0" t="n">
        <v>19.15135</v>
      </c>
      <c r="X85" s="0" t="n">
        <v>18.2453</v>
      </c>
      <c r="Y85" s="0" t="n">
        <v>19.16475</v>
      </c>
      <c r="Z85" s="0" t="n">
        <v>18.61317</v>
      </c>
      <c r="AA85" s="0" t="n">
        <v>18.39067</v>
      </c>
      <c r="AB85" s="0" t="n">
        <v>18.99015</v>
      </c>
      <c r="AC85" s="0" t="n">
        <v>19.3613</v>
      </c>
      <c r="AD85" s="0" t="n">
        <v>18.79084</v>
      </c>
      <c r="AE85" s="0" t="n">
        <f aca="false">_xlfn.T.TEST(D85:J85,K85:W85,1,2)</f>
        <v>0.397826412382108</v>
      </c>
      <c r="AF85" s="0" t="n">
        <f aca="false">_xlfn.T.TEST(K85:W85,X85:AD85,1,2)</f>
        <v>0.244141212562115</v>
      </c>
      <c r="AG85" s="0" t="n">
        <f aca="false">_xlfn.T.TEST(D85:J85,X85:AD85,1,2)</f>
        <v>0.14336505207707</v>
      </c>
      <c r="AH85" s="0" t="n">
        <v>0.704490756118127</v>
      </c>
    </row>
    <row r="86" customFormat="false" ht="15" hidden="false" customHeight="false" outlineLevel="0" collapsed="false">
      <c r="A86" s="0" t="s">
        <v>351</v>
      </c>
      <c r="B86" s="0" t="s">
        <v>349</v>
      </c>
      <c r="C86" s="0" t="s">
        <v>350</v>
      </c>
      <c r="D86" s="0" t="n">
        <v>15.82677</v>
      </c>
      <c r="E86" s="0" t="n">
        <v>15.99811</v>
      </c>
      <c r="F86" s="0" t="n">
        <v>17.62185</v>
      </c>
      <c r="G86" s="0" t="n">
        <v>13.41681</v>
      </c>
      <c r="H86" s="0" t="n">
        <v>15.58986</v>
      </c>
      <c r="I86" s="0" t="n">
        <v>14.78346</v>
      </c>
      <c r="J86" s="0" t="n">
        <v>14.98678</v>
      </c>
      <c r="K86" s="0" t="n">
        <v>15.6836</v>
      </c>
      <c r="L86" s="0" t="n">
        <v>15.30773</v>
      </c>
      <c r="M86" s="0" t="n">
        <v>13.84495</v>
      </c>
      <c r="N86" s="0" t="n">
        <v>15.95567</v>
      </c>
      <c r="O86" s="0" t="n">
        <v>13.48079</v>
      </c>
      <c r="P86" s="0" t="n">
        <v>14.91424</v>
      </c>
      <c r="Q86" s="0" t="n">
        <v>16.43359</v>
      </c>
      <c r="R86" s="0" t="n">
        <v>14.42482</v>
      </c>
      <c r="S86" s="0" t="n">
        <v>14.95374</v>
      </c>
      <c r="T86" s="0" t="n">
        <v>15.36782</v>
      </c>
      <c r="U86" s="0" t="n">
        <v>15.29182</v>
      </c>
      <c r="V86" s="0" t="n">
        <v>15.1159</v>
      </c>
      <c r="W86" s="0" t="n">
        <v>15.63226</v>
      </c>
      <c r="X86" s="0" t="n">
        <v>14.6831</v>
      </c>
      <c r="Y86" s="0" t="n">
        <v>14.42913</v>
      </c>
      <c r="Z86" s="0" t="n">
        <v>15.97264</v>
      </c>
      <c r="AA86" s="0" t="n">
        <v>15.2467</v>
      </c>
      <c r="AB86" s="0" t="n">
        <v>15.16922</v>
      </c>
      <c r="AC86" s="0" t="n">
        <v>15.51286</v>
      </c>
      <c r="AD86" s="0" t="n">
        <v>15.58924</v>
      </c>
      <c r="AE86" s="0" t="n">
        <f aca="false">_xlfn.T.TEST(D86:J86,K86:W86,1,2)</f>
        <v>0.230827658907885</v>
      </c>
      <c r="AF86" s="0" t="n">
        <f aca="false">_xlfn.T.TEST(K86:W86,X86:AD86,1,2)</f>
        <v>0.364866570511494</v>
      </c>
      <c r="AG86" s="0" t="n">
        <f aca="false">_xlfn.T.TEST(D86:J86,X86:AD86,1,2)</f>
        <v>0.334183231414466</v>
      </c>
      <c r="AH86" s="0" t="n">
        <v>0.712958905317871</v>
      </c>
    </row>
    <row r="87" customFormat="false" ht="15" hidden="false" customHeight="false" outlineLevel="0" collapsed="false">
      <c r="A87" s="0" t="s">
        <v>195</v>
      </c>
      <c r="B87" s="0" t="s">
        <v>193</v>
      </c>
      <c r="C87" s="0" t="s">
        <v>194</v>
      </c>
      <c r="D87" s="0" t="n">
        <v>16.20409</v>
      </c>
      <c r="E87" s="0" t="n">
        <v>15.35086</v>
      </c>
      <c r="F87" s="0" t="n">
        <v>15.84793</v>
      </c>
      <c r="G87" s="0" t="n">
        <v>16.37081</v>
      </c>
      <c r="H87" s="0" t="n">
        <v>13.62984</v>
      </c>
      <c r="I87" s="0" t="n">
        <v>16.69629</v>
      </c>
      <c r="J87" s="0" t="n">
        <v>17.04666</v>
      </c>
      <c r="K87" s="0" t="n">
        <v>13.78114</v>
      </c>
      <c r="L87" s="0" t="n">
        <v>16.51212</v>
      </c>
      <c r="M87" s="0" t="n">
        <v>16.13515</v>
      </c>
      <c r="N87" s="0" t="n">
        <v>17.20631</v>
      </c>
      <c r="O87" s="0" t="n">
        <v>15.52169</v>
      </c>
      <c r="P87" s="0" t="n">
        <v>13.52408</v>
      </c>
      <c r="Q87" s="0" t="n">
        <v>16.63268</v>
      </c>
      <c r="R87" s="0" t="n">
        <v>17.54404</v>
      </c>
      <c r="S87" s="0" t="n">
        <v>14.06327</v>
      </c>
      <c r="T87" s="0" t="n">
        <v>13.95829</v>
      </c>
      <c r="U87" s="0" t="n">
        <v>13.73779</v>
      </c>
      <c r="V87" s="0" t="n">
        <v>16.69152</v>
      </c>
      <c r="W87" s="0" t="n">
        <v>16.73105</v>
      </c>
      <c r="X87" s="0" t="n">
        <v>17.25276</v>
      </c>
      <c r="Y87" s="0" t="n">
        <v>16.57935</v>
      </c>
      <c r="Z87" s="0" t="n">
        <v>13.51815</v>
      </c>
      <c r="AA87" s="0" t="n">
        <v>17.87622</v>
      </c>
      <c r="AB87" s="0" t="n">
        <v>14.00867</v>
      </c>
      <c r="AC87" s="0" t="n">
        <v>17.57792</v>
      </c>
      <c r="AD87" s="0" t="n">
        <v>16.93226</v>
      </c>
      <c r="AE87" s="0" t="n">
        <f aca="false">_xlfn.T.TEST(D87:J87,K87:W87,1,2)</f>
        <v>0.306032583700965</v>
      </c>
      <c r="AF87" s="0" t="n">
        <f aca="false">_xlfn.T.TEST(K87:W87,X87:AD87,1,2)</f>
        <v>0.177661866471932</v>
      </c>
      <c r="AG87" s="0" t="n">
        <f aca="false">_xlfn.T.TEST(D87:J87,X87:AD87,1,2)</f>
        <v>0.323342144477243</v>
      </c>
      <c r="AH87" s="0" t="n">
        <v>0.714956114450475</v>
      </c>
    </row>
    <row r="88" customFormat="false" ht="15" hidden="false" customHeight="false" outlineLevel="0" collapsed="false">
      <c r="A88" s="0" t="s">
        <v>362</v>
      </c>
      <c r="B88" s="0" t="s">
        <v>360</v>
      </c>
      <c r="C88" s="0" t="s">
        <v>361</v>
      </c>
      <c r="D88" s="0" t="n">
        <v>17.59921</v>
      </c>
      <c r="E88" s="0" t="n">
        <v>17.56993</v>
      </c>
      <c r="F88" s="0" t="n">
        <v>16.61693</v>
      </c>
      <c r="G88" s="0" t="n">
        <v>17.6888</v>
      </c>
      <c r="H88" s="0" t="n">
        <v>17.4855</v>
      </c>
      <c r="I88" s="0" t="n">
        <v>19.05698</v>
      </c>
      <c r="J88" s="0" t="n">
        <v>17.58241</v>
      </c>
      <c r="K88" s="0" t="n">
        <v>18.11949</v>
      </c>
      <c r="L88" s="0" t="n">
        <v>17.98092</v>
      </c>
      <c r="M88" s="0" t="n">
        <v>14.05027</v>
      </c>
      <c r="N88" s="0" t="n">
        <v>16.87931</v>
      </c>
      <c r="O88" s="0" t="n">
        <v>19.57653</v>
      </c>
      <c r="P88" s="0" t="n">
        <v>18.32342</v>
      </c>
      <c r="Q88" s="0" t="n">
        <v>19.30697</v>
      </c>
      <c r="R88" s="0" t="n">
        <v>17.66261</v>
      </c>
      <c r="S88" s="0" t="n">
        <v>17.45796</v>
      </c>
      <c r="T88" s="0" t="n">
        <v>18.20409</v>
      </c>
      <c r="U88" s="0" t="n">
        <v>17.97858</v>
      </c>
      <c r="V88" s="0" t="n">
        <v>17.93853</v>
      </c>
      <c r="W88" s="0" t="n">
        <v>17.33961</v>
      </c>
      <c r="X88" s="0" t="n">
        <v>17.31168</v>
      </c>
      <c r="Y88" s="0" t="n">
        <v>17.98382</v>
      </c>
      <c r="Z88" s="0" t="n">
        <v>18.41988</v>
      </c>
      <c r="AA88" s="0" t="n">
        <v>18.20834</v>
      </c>
      <c r="AB88" s="0" t="n">
        <v>18.47171</v>
      </c>
      <c r="AC88" s="0" t="n">
        <v>18.21</v>
      </c>
      <c r="AD88" s="0" t="n">
        <v>18.71488</v>
      </c>
      <c r="AE88" s="0" t="n">
        <f aca="false">_xlfn.T.TEST(D88:J88,K88:W88,1,2)</f>
        <v>0.429610711657012</v>
      </c>
      <c r="AF88" s="0" t="n">
        <f aca="false">_xlfn.T.TEST(K88:W88,X88:AD88,1,2)</f>
        <v>0.209599865508829</v>
      </c>
      <c r="AG88" s="0" t="n">
        <f aca="false">_xlfn.T.TEST(D88:J88,X88:AD88,1,2)</f>
        <v>0.0615021435898702</v>
      </c>
      <c r="AH88" s="0" t="n">
        <v>0.727012298814684</v>
      </c>
    </row>
    <row r="89" customFormat="false" ht="15" hidden="false" customHeight="false" outlineLevel="0" collapsed="false">
      <c r="A89" s="0" t="s">
        <v>279</v>
      </c>
      <c r="B89" s="0" t="s">
        <v>277</v>
      </c>
      <c r="C89" s="0" t="s">
        <v>278</v>
      </c>
      <c r="D89" s="0" t="n">
        <v>21.21916</v>
      </c>
      <c r="E89" s="0" t="n">
        <v>21.32778</v>
      </c>
      <c r="F89" s="0" t="n">
        <v>22.11537</v>
      </c>
      <c r="G89" s="0" t="n">
        <v>20.83784</v>
      </c>
      <c r="H89" s="0" t="n">
        <v>21.02229</v>
      </c>
      <c r="I89" s="0" t="n">
        <v>20.95084</v>
      </c>
      <c r="J89" s="0" t="n">
        <v>21.16183</v>
      </c>
      <c r="K89" s="0" t="n">
        <v>21.11579</v>
      </c>
      <c r="L89" s="0" t="n">
        <v>21.19298</v>
      </c>
      <c r="M89" s="0" t="n">
        <v>22.2009</v>
      </c>
      <c r="N89" s="0" t="n">
        <v>16.60212</v>
      </c>
      <c r="O89" s="0" t="n">
        <v>20.70007</v>
      </c>
      <c r="P89" s="0" t="n">
        <v>20.04567</v>
      </c>
      <c r="Q89" s="0" t="n">
        <v>23.08096</v>
      </c>
      <c r="R89" s="0" t="n">
        <v>20.90124</v>
      </c>
      <c r="S89" s="0" t="n">
        <v>20.81237</v>
      </c>
      <c r="T89" s="0" t="n">
        <v>21.60878</v>
      </c>
      <c r="U89" s="0" t="n">
        <v>21.44693</v>
      </c>
      <c r="V89" s="0" t="n">
        <v>20.90021</v>
      </c>
      <c r="W89" s="0" t="n">
        <v>21.61634</v>
      </c>
      <c r="X89" s="0" t="n">
        <v>21.6631</v>
      </c>
      <c r="Y89" s="0" t="n">
        <v>21.19748</v>
      </c>
      <c r="Z89" s="0" t="n">
        <v>21.06888</v>
      </c>
      <c r="AA89" s="0" t="n">
        <v>21.09816</v>
      </c>
      <c r="AB89" s="0" t="n">
        <v>21.17585</v>
      </c>
      <c r="AC89" s="0" t="n">
        <v>21.84938</v>
      </c>
      <c r="AD89" s="0" t="n">
        <v>20.43979</v>
      </c>
      <c r="AE89" s="0" t="n">
        <f aca="false">_xlfn.T.TEST(D89:J89,K89:W89,1,2)</f>
        <v>0.311641595602417</v>
      </c>
      <c r="AF89" s="0" t="n">
        <f aca="false">_xlfn.T.TEST(K89:W89,X89:AD89,1,2)</f>
        <v>0.324205101800623</v>
      </c>
      <c r="AG89" s="0" t="n">
        <f aca="false">_xlfn.T.TEST(D89:J89,X89:AD89,1,2)</f>
        <v>0.466165979356866</v>
      </c>
      <c r="AH89" s="0" t="n">
        <v>0.728014335922071</v>
      </c>
    </row>
    <row r="90" customFormat="false" ht="15" hidden="false" customHeight="false" outlineLevel="0" collapsed="false">
      <c r="A90" s="0" t="s">
        <v>295</v>
      </c>
      <c r="B90" s="0" t="s">
        <v>293</v>
      </c>
      <c r="C90" s="0" t="s">
        <v>294</v>
      </c>
      <c r="D90" s="0" t="n">
        <v>18.16952</v>
      </c>
      <c r="E90" s="0" t="n">
        <v>18.81428</v>
      </c>
      <c r="F90" s="0" t="n">
        <v>15.97527</v>
      </c>
      <c r="G90" s="0" t="n">
        <v>17.84249</v>
      </c>
      <c r="H90" s="0" t="n">
        <v>18.23491</v>
      </c>
      <c r="I90" s="0" t="n">
        <v>18.5641</v>
      </c>
      <c r="J90" s="0" t="n">
        <v>17.73231</v>
      </c>
      <c r="K90" s="0" t="n">
        <v>18.28211</v>
      </c>
      <c r="L90" s="0" t="n">
        <v>18.29773</v>
      </c>
      <c r="M90" s="0" t="n">
        <v>18.39941</v>
      </c>
      <c r="N90" s="0" t="n">
        <v>16.10646</v>
      </c>
      <c r="O90" s="0" t="n">
        <v>18.70496</v>
      </c>
      <c r="P90" s="0" t="n">
        <v>17.48738</v>
      </c>
      <c r="Q90" s="0" t="n">
        <v>19.45808</v>
      </c>
      <c r="R90" s="0" t="n">
        <v>19.19039</v>
      </c>
      <c r="S90" s="0" t="n">
        <v>18.09166</v>
      </c>
      <c r="T90" s="0" t="n">
        <v>17.61641</v>
      </c>
      <c r="U90" s="0" t="n">
        <v>18.43661</v>
      </c>
      <c r="V90" s="0" t="n">
        <v>18.10144</v>
      </c>
      <c r="W90" s="0" t="n">
        <v>18.0788</v>
      </c>
      <c r="X90" s="0" t="n">
        <v>17.09104</v>
      </c>
      <c r="Y90" s="0" t="n">
        <v>17.52451</v>
      </c>
      <c r="Z90" s="0" t="n">
        <v>17.97175</v>
      </c>
      <c r="AA90" s="0" t="n">
        <v>18.05574</v>
      </c>
      <c r="AB90" s="0" t="n">
        <v>18.24047</v>
      </c>
      <c r="AC90" s="0" t="n">
        <v>18.79573</v>
      </c>
      <c r="AD90" s="0" t="n">
        <v>17.45443</v>
      </c>
      <c r="AE90" s="0" t="n">
        <f aca="false">_xlfn.T.TEST(D90:J90,K90:W90,1,2)</f>
        <v>0.257519054122695</v>
      </c>
      <c r="AF90" s="0" t="n">
        <f aca="false">_xlfn.T.TEST(K90:W90,X90:AD90,1,2)</f>
        <v>0.204739165787785</v>
      </c>
      <c r="AG90" s="0" t="n">
        <f aca="false">_xlfn.T.TEST(D90:J90,X90:AD90,1,2)</f>
        <v>0.473045437459315</v>
      </c>
      <c r="AH90" s="0" t="n">
        <v>0.735507212824716</v>
      </c>
    </row>
    <row r="91" customFormat="false" ht="15" hidden="false" customHeight="false" outlineLevel="0" collapsed="false">
      <c r="A91" s="0" t="s">
        <v>114</v>
      </c>
      <c r="B91" s="0" t="s">
        <v>112</v>
      </c>
      <c r="C91" s="0" t="s">
        <v>113</v>
      </c>
      <c r="D91" s="0" t="n">
        <v>19.24298</v>
      </c>
      <c r="E91" s="0" t="n">
        <v>19.62824</v>
      </c>
      <c r="F91" s="0" t="n">
        <v>18.7613</v>
      </c>
      <c r="G91" s="0" t="n">
        <v>19.6322</v>
      </c>
      <c r="H91" s="0" t="n">
        <v>20.27264</v>
      </c>
      <c r="I91" s="0" t="n">
        <v>19.30184</v>
      </c>
      <c r="J91" s="0" t="n">
        <v>20.62694</v>
      </c>
      <c r="K91" s="0" t="n">
        <v>19.75174</v>
      </c>
      <c r="L91" s="0" t="n">
        <v>19.14602</v>
      </c>
      <c r="M91" s="0" t="n">
        <v>20.44849</v>
      </c>
      <c r="N91" s="0" t="n">
        <v>15.85504</v>
      </c>
      <c r="O91" s="0" t="n">
        <v>21.54694</v>
      </c>
      <c r="P91" s="0" t="n">
        <v>19.57511</v>
      </c>
      <c r="Q91" s="0" t="n">
        <v>19.70548</v>
      </c>
      <c r="R91" s="0" t="n">
        <v>20.97078</v>
      </c>
      <c r="S91" s="0" t="n">
        <v>19.76704</v>
      </c>
      <c r="T91" s="0" t="n">
        <v>19.71478</v>
      </c>
      <c r="U91" s="0" t="n">
        <v>19.66075</v>
      </c>
      <c r="V91" s="0" t="n">
        <v>19.86501</v>
      </c>
      <c r="W91" s="0" t="n">
        <v>19.41305</v>
      </c>
      <c r="X91" s="0" t="n">
        <v>20.28365</v>
      </c>
      <c r="Y91" s="0" t="n">
        <v>20.01182</v>
      </c>
      <c r="Z91" s="0" t="n">
        <v>19.60252</v>
      </c>
      <c r="AA91" s="0" t="n">
        <v>20.03966</v>
      </c>
      <c r="AB91" s="0" t="n">
        <v>20.36217</v>
      </c>
      <c r="AC91" s="0" t="n">
        <v>19.74207</v>
      </c>
      <c r="AD91" s="0" t="n">
        <v>20.61746</v>
      </c>
      <c r="AE91" s="0" t="n">
        <f aca="false">_xlfn.T.TEST(D91:J91,K91:W91,1,2)</f>
        <v>0.492836365254996</v>
      </c>
      <c r="AF91" s="0" t="n">
        <f aca="false">_xlfn.T.TEST(K91:W91,X91:AD91,1,2)</f>
        <v>0.197674606990424</v>
      </c>
      <c r="AG91" s="0" t="n">
        <f aca="false">_xlfn.T.TEST(D91:J91,X91:AD91,1,2)</f>
        <v>0.0615026325386902</v>
      </c>
      <c r="AH91" s="0" t="n">
        <v>0.746861242118552</v>
      </c>
    </row>
    <row r="92" customFormat="false" ht="15" hidden="false" customHeight="false" outlineLevel="0" collapsed="false">
      <c r="A92" s="0" t="s">
        <v>169</v>
      </c>
      <c r="B92" s="0" t="s">
        <v>167</v>
      </c>
      <c r="C92" s="0" t="s">
        <v>168</v>
      </c>
      <c r="D92" s="0" t="n">
        <v>22.21428</v>
      </c>
      <c r="E92" s="0" t="n">
        <v>22.40561</v>
      </c>
      <c r="F92" s="0" t="n">
        <v>22.72013</v>
      </c>
      <c r="G92" s="0" t="n">
        <v>21.51369</v>
      </c>
      <c r="H92" s="0" t="n">
        <v>23.07303</v>
      </c>
      <c r="I92" s="0" t="n">
        <v>23.27498</v>
      </c>
      <c r="J92" s="0" t="n">
        <v>22.08631</v>
      </c>
      <c r="K92" s="0" t="n">
        <v>22.95911</v>
      </c>
      <c r="L92" s="0" t="n">
        <v>22.91322</v>
      </c>
      <c r="M92" s="0" t="n">
        <v>21.46069</v>
      </c>
      <c r="N92" s="0" t="n">
        <v>22.6003</v>
      </c>
      <c r="O92" s="0" t="n">
        <v>22.95395</v>
      </c>
      <c r="P92" s="0" t="n">
        <v>23.96429</v>
      </c>
      <c r="Q92" s="0" t="n">
        <v>22.6992</v>
      </c>
      <c r="R92" s="0" t="n">
        <v>21.98812</v>
      </c>
      <c r="S92" s="0" t="n">
        <v>22.71125</v>
      </c>
      <c r="T92" s="0" t="n">
        <v>22.51735</v>
      </c>
      <c r="U92" s="0" t="n">
        <v>22.76067</v>
      </c>
      <c r="V92" s="0" t="n">
        <v>22.56658</v>
      </c>
      <c r="W92" s="0" t="n">
        <v>22.47764</v>
      </c>
      <c r="X92" s="0" t="n">
        <v>23.24965</v>
      </c>
      <c r="Y92" s="0" t="n">
        <v>23.22587</v>
      </c>
      <c r="Z92" s="0" t="n">
        <v>21.92636</v>
      </c>
      <c r="AA92" s="0" t="n">
        <v>22.54347</v>
      </c>
      <c r="AB92" s="0" t="n">
        <v>22.75664</v>
      </c>
      <c r="AC92" s="0" t="n">
        <v>22.30299</v>
      </c>
      <c r="AD92" s="0" t="n">
        <v>22.73202</v>
      </c>
      <c r="AE92" s="0" t="n">
        <f aca="false">_xlfn.T.TEST(D92:J92,K92:W92,1,2)</f>
        <v>0.248230971256047</v>
      </c>
      <c r="AF92" s="0" t="n">
        <f aca="false">_xlfn.T.TEST(K92:W92,X92:AD92,1,2)</f>
        <v>0.473189552070407</v>
      </c>
      <c r="AG92" s="0" t="n">
        <f aca="false">_xlfn.T.TEST(D92:J92,X92:AD92,1,2)</f>
        <v>0.245496631470009</v>
      </c>
      <c r="AH92" s="0" t="n">
        <v>0.749964645869431</v>
      </c>
    </row>
    <row r="93" customFormat="false" ht="15" hidden="false" customHeight="false" outlineLevel="0" collapsed="false">
      <c r="A93" s="0" t="s">
        <v>244</v>
      </c>
      <c r="B93" s="0" t="s">
        <v>242</v>
      </c>
      <c r="C93" s="0" t="s">
        <v>243</v>
      </c>
      <c r="D93" s="0" t="n">
        <v>19.02553</v>
      </c>
      <c r="E93" s="0" t="n">
        <v>19.2012</v>
      </c>
      <c r="F93" s="0" t="n">
        <v>17.84365</v>
      </c>
      <c r="G93" s="0" t="n">
        <v>18.89492</v>
      </c>
      <c r="H93" s="0" t="n">
        <v>19.85707</v>
      </c>
      <c r="I93" s="0" t="n">
        <v>20.1706</v>
      </c>
      <c r="J93" s="0" t="n">
        <v>19.03424</v>
      </c>
      <c r="K93" s="0" t="n">
        <v>19.72883</v>
      </c>
      <c r="L93" s="0" t="n">
        <v>19.50967</v>
      </c>
      <c r="M93" s="0" t="n">
        <v>20.01958</v>
      </c>
      <c r="N93" s="0" t="n">
        <v>16.8541</v>
      </c>
      <c r="O93" s="0" t="n">
        <v>18.52631</v>
      </c>
      <c r="P93" s="0" t="n">
        <v>20.16938</v>
      </c>
      <c r="Q93" s="0" t="n">
        <v>19.98371</v>
      </c>
      <c r="R93" s="0" t="n">
        <v>19.61477</v>
      </c>
      <c r="S93" s="0" t="n">
        <v>19.36899</v>
      </c>
      <c r="T93" s="0" t="n">
        <v>19.32312</v>
      </c>
      <c r="U93" s="0" t="n">
        <v>18.89871</v>
      </c>
      <c r="V93" s="0" t="n">
        <v>19.33152</v>
      </c>
      <c r="W93" s="0" t="n">
        <v>19.48146</v>
      </c>
      <c r="X93" s="0" t="n">
        <v>19.81856</v>
      </c>
      <c r="Y93" s="0" t="n">
        <v>19.05582</v>
      </c>
      <c r="Z93" s="0" t="n">
        <v>19.56306</v>
      </c>
      <c r="AA93" s="0" t="n">
        <v>18.63282</v>
      </c>
      <c r="AB93" s="0" t="n">
        <v>20.31374</v>
      </c>
      <c r="AC93" s="0" t="n">
        <v>19.36828</v>
      </c>
      <c r="AD93" s="0" t="n">
        <v>19.98982</v>
      </c>
      <c r="AE93" s="0" t="n">
        <f aca="false">_xlfn.T.TEST(D93:J93,K93:W93,1,2)</f>
        <v>0.354459577896861</v>
      </c>
      <c r="AF93" s="0" t="n">
        <f aca="false">_xlfn.T.TEST(K93:W93,X93:AD93,1,2)</f>
        <v>0.257370056558804</v>
      </c>
      <c r="AG93" s="0" t="n">
        <f aca="false">_xlfn.T.TEST(D93:J93,X93:AD93,1,2)</f>
        <v>0.148406737076037</v>
      </c>
      <c r="AH93" s="0" t="n">
        <v>0.773402385273115</v>
      </c>
    </row>
    <row r="94" customFormat="false" ht="15" hidden="false" customHeight="false" outlineLevel="0" collapsed="false">
      <c r="A94" s="0" t="s">
        <v>90</v>
      </c>
      <c r="B94" s="0" t="s">
        <v>88</v>
      </c>
      <c r="C94" s="0" t="s">
        <v>89</v>
      </c>
      <c r="D94" s="0" t="n">
        <v>20.33254</v>
      </c>
      <c r="E94" s="0" t="n">
        <v>18.8343</v>
      </c>
      <c r="F94" s="0" t="n">
        <v>16.56875</v>
      </c>
      <c r="G94" s="0" t="n">
        <v>19.33551</v>
      </c>
      <c r="H94" s="0" t="n">
        <v>19.81093</v>
      </c>
      <c r="I94" s="0" t="n">
        <v>21.65574</v>
      </c>
      <c r="J94" s="0" t="n">
        <v>18.43555</v>
      </c>
      <c r="K94" s="0" t="n">
        <v>20.01291</v>
      </c>
      <c r="L94" s="0" t="n">
        <v>20.10342</v>
      </c>
      <c r="M94" s="0" t="n">
        <v>20.2841</v>
      </c>
      <c r="N94" s="0" t="n">
        <v>19.41092</v>
      </c>
      <c r="O94" s="0" t="n">
        <v>18.31208</v>
      </c>
      <c r="P94" s="0" t="n">
        <v>20.09803</v>
      </c>
      <c r="Q94" s="0" t="n">
        <v>15.54485</v>
      </c>
      <c r="R94" s="0" t="n">
        <v>17.91351</v>
      </c>
      <c r="S94" s="0" t="n">
        <v>19.76463</v>
      </c>
      <c r="T94" s="0" t="n">
        <v>20.10213</v>
      </c>
      <c r="U94" s="0" t="n">
        <v>19.93416</v>
      </c>
      <c r="V94" s="0" t="n">
        <v>19.16401</v>
      </c>
      <c r="W94" s="0" t="n">
        <v>20.05907</v>
      </c>
      <c r="X94" s="0" t="n">
        <v>19.82999</v>
      </c>
      <c r="Y94" s="0" t="n">
        <v>20.30986</v>
      </c>
      <c r="Z94" s="0" t="n">
        <v>19.01029</v>
      </c>
      <c r="AA94" s="0" t="n">
        <v>19.08809</v>
      </c>
      <c r="AB94" s="0" t="n">
        <v>19.89269</v>
      </c>
      <c r="AC94" s="0" t="n">
        <v>20.0592</v>
      </c>
      <c r="AD94" s="0" t="n">
        <v>19.08044</v>
      </c>
      <c r="AE94" s="0" t="n">
        <f aca="false">_xlfn.T.TEST(D94:J94,K94:W94,1,2)</f>
        <v>0.498238376935366</v>
      </c>
      <c r="AF94" s="0" t="n">
        <f aca="false">_xlfn.T.TEST(K94:W94,X94:AD94,1,2)</f>
        <v>0.27509727931727</v>
      </c>
      <c r="AG94" s="0" t="n">
        <f aca="false">_xlfn.T.TEST(D94:J94,X94:AD94,1,2)</f>
        <v>0.3078353159964</v>
      </c>
      <c r="AH94" s="0" t="n">
        <v>0.790175514478669</v>
      </c>
    </row>
    <row r="95" customFormat="false" ht="15" hidden="false" customHeight="false" outlineLevel="0" collapsed="false">
      <c r="A95" s="0" t="s">
        <v>502</v>
      </c>
      <c r="B95" s="0" t="s">
        <v>500</v>
      </c>
      <c r="C95" s="0" t="s">
        <v>501</v>
      </c>
      <c r="D95" s="0" t="n">
        <v>14.75468</v>
      </c>
      <c r="E95" s="0" t="n">
        <v>14.72595</v>
      </c>
      <c r="F95" s="0" t="n">
        <v>16.23142</v>
      </c>
      <c r="G95" s="0" t="n">
        <v>14.84127</v>
      </c>
      <c r="H95" s="0" t="n">
        <v>14.88221</v>
      </c>
      <c r="I95" s="0" t="n">
        <v>13.98811</v>
      </c>
      <c r="J95" s="0" t="n">
        <v>15.52522</v>
      </c>
      <c r="K95" s="0" t="n">
        <v>13.97939</v>
      </c>
      <c r="L95" s="0" t="n">
        <v>15.3066</v>
      </c>
      <c r="M95" s="0" t="n">
        <v>14.38296</v>
      </c>
      <c r="N95" s="0" t="n">
        <v>17.40277</v>
      </c>
      <c r="O95" s="0" t="n">
        <v>15.23949</v>
      </c>
      <c r="P95" s="0" t="n">
        <v>14.69789</v>
      </c>
      <c r="Q95" s="0" t="n">
        <v>13.97215</v>
      </c>
      <c r="R95" s="0" t="n">
        <v>14.15553</v>
      </c>
      <c r="S95" s="0" t="n">
        <v>14.43365</v>
      </c>
      <c r="T95" s="0" t="n">
        <v>14.69572</v>
      </c>
      <c r="U95" s="0" t="n">
        <v>14.20661</v>
      </c>
      <c r="V95" s="0" t="n">
        <v>14.68564</v>
      </c>
      <c r="W95" s="0" t="n">
        <v>14.55836</v>
      </c>
      <c r="X95" s="0" t="n">
        <v>13.28099</v>
      </c>
      <c r="Y95" s="0" t="n">
        <v>14.68967</v>
      </c>
      <c r="Z95" s="0" t="n">
        <v>15.24548</v>
      </c>
      <c r="AA95" s="0" t="n">
        <v>15.51095</v>
      </c>
      <c r="AB95" s="0" t="n">
        <v>15.10161</v>
      </c>
      <c r="AC95" s="0" t="n">
        <v>14.69659</v>
      </c>
      <c r="AD95" s="0" t="n">
        <v>15.27605</v>
      </c>
      <c r="AE95" s="0" t="n">
        <f aca="false">_xlfn.T.TEST(D95:J95,K95:W95,1,2)</f>
        <v>0.270655881040027</v>
      </c>
      <c r="AF95" s="0" t="n">
        <f aca="false">_xlfn.T.TEST(K95:W95,X95:AD95,1,2)</f>
        <v>0.420463102908537</v>
      </c>
      <c r="AG95" s="0" t="n">
        <f aca="false">_xlfn.T.TEST(D95:J95,X95:AD95,1,2)</f>
        <v>0.340221716551516</v>
      </c>
      <c r="AH95" s="0" t="n">
        <v>0.804233141898505</v>
      </c>
    </row>
    <row r="96" customFormat="false" ht="15" hidden="false" customHeight="false" outlineLevel="0" collapsed="false">
      <c r="A96" s="0" t="s">
        <v>469</v>
      </c>
      <c r="B96" s="0" t="s">
        <v>467</v>
      </c>
      <c r="C96" s="0" t="s">
        <v>468</v>
      </c>
      <c r="D96" s="0" t="n">
        <v>20.18423</v>
      </c>
      <c r="E96" s="0" t="n">
        <v>19.78547</v>
      </c>
      <c r="F96" s="0" t="n">
        <v>20.338</v>
      </c>
      <c r="G96" s="0" t="n">
        <v>19.59407</v>
      </c>
      <c r="H96" s="0" t="n">
        <v>20.21039</v>
      </c>
      <c r="I96" s="0" t="n">
        <v>19.21748</v>
      </c>
      <c r="J96" s="0" t="n">
        <v>19.89071</v>
      </c>
      <c r="K96" s="0" t="n">
        <v>19.52571</v>
      </c>
      <c r="L96" s="0" t="n">
        <v>20.62845</v>
      </c>
      <c r="M96" s="0" t="n">
        <v>18.9613</v>
      </c>
      <c r="N96" s="0" t="n">
        <v>16.92265</v>
      </c>
      <c r="O96" s="0" t="n">
        <v>18.28225</v>
      </c>
      <c r="P96" s="0" t="n">
        <v>20.61612</v>
      </c>
      <c r="Q96" s="0" t="n">
        <v>21.6329</v>
      </c>
      <c r="R96" s="0" t="n">
        <v>18.72511</v>
      </c>
      <c r="S96" s="0" t="n">
        <v>20.32378</v>
      </c>
      <c r="T96" s="0" t="n">
        <v>20.51268</v>
      </c>
      <c r="U96" s="0" t="n">
        <v>19.61678</v>
      </c>
      <c r="V96" s="0" t="n">
        <v>19.85679</v>
      </c>
      <c r="W96" s="0" t="n">
        <v>19.27292</v>
      </c>
      <c r="X96" s="0" t="n">
        <v>18.36029</v>
      </c>
      <c r="Y96" s="0" t="n">
        <v>19.24714</v>
      </c>
      <c r="Z96" s="0" t="n">
        <v>20.43227</v>
      </c>
      <c r="AA96" s="0" t="n">
        <v>20.33876</v>
      </c>
      <c r="AB96" s="0" t="n">
        <v>20.16656</v>
      </c>
      <c r="AC96" s="0" t="n">
        <v>19.62558</v>
      </c>
      <c r="AD96" s="0" t="n">
        <v>19.66541</v>
      </c>
      <c r="AE96" s="0" t="n">
        <f aca="false">_xlfn.T.TEST(D96:J96,K96:W96,1,2)</f>
        <v>0.281150422170051</v>
      </c>
      <c r="AF96" s="0" t="n">
        <f aca="false">_xlfn.T.TEST(K96:W96,X96:AD96,1,2)</f>
        <v>0.434363393850319</v>
      </c>
      <c r="AG96" s="0" t="n">
        <f aca="false">_xlfn.T.TEST(D96:J96,X96:AD96,1,2)</f>
        <v>0.269527803498713</v>
      </c>
      <c r="AH96" s="0" t="n">
        <v>0.827633756530232</v>
      </c>
    </row>
    <row r="97" customFormat="false" ht="15" hidden="false" customHeight="false" outlineLevel="0" collapsed="false">
      <c r="A97" s="0" t="s">
        <v>454</v>
      </c>
      <c r="B97" s="0" t="s">
        <v>452</v>
      </c>
      <c r="C97" s="0" t="s">
        <v>453</v>
      </c>
      <c r="D97" s="0" t="n">
        <v>15.10754</v>
      </c>
      <c r="E97" s="0" t="n">
        <v>15.49235</v>
      </c>
      <c r="F97" s="0" t="n">
        <v>16.9119</v>
      </c>
      <c r="G97" s="0" t="n">
        <v>13.56719</v>
      </c>
      <c r="H97" s="0" t="n">
        <v>14.89415</v>
      </c>
      <c r="I97" s="0" t="n">
        <v>14.24711</v>
      </c>
      <c r="J97" s="0" t="n">
        <v>15.07217</v>
      </c>
      <c r="K97" s="0" t="n">
        <v>15.64338</v>
      </c>
      <c r="L97" s="0" t="n">
        <v>15.11077</v>
      </c>
      <c r="M97" s="0" t="n">
        <v>13.57362</v>
      </c>
      <c r="N97" s="0" t="n">
        <v>17.25868</v>
      </c>
      <c r="O97" s="0" t="n">
        <v>13.87584</v>
      </c>
      <c r="P97" s="0" t="n">
        <v>15.49182</v>
      </c>
      <c r="Q97" s="0" t="n">
        <v>15.37606</v>
      </c>
      <c r="R97" s="0" t="n">
        <v>14.63243</v>
      </c>
      <c r="S97" s="0" t="n">
        <v>15.70206</v>
      </c>
      <c r="T97" s="0" t="n">
        <v>15.58008</v>
      </c>
      <c r="U97" s="0" t="n">
        <v>15.59797</v>
      </c>
      <c r="V97" s="0" t="n">
        <v>15.48944</v>
      </c>
      <c r="W97" s="0" t="n">
        <v>15.17235</v>
      </c>
      <c r="X97" s="0" t="n">
        <v>15.01542</v>
      </c>
      <c r="Y97" s="0" t="n">
        <v>14.97186</v>
      </c>
      <c r="Z97" s="0" t="n">
        <v>15.24414</v>
      </c>
      <c r="AA97" s="0" t="n">
        <v>15.46687</v>
      </c>
      <c r="AB97" s="0" t="n">
        <v>15.80919</v>
      </c>
      <c r="AC97" s="0" t="n">
        <v>14.93999</v>
      </c>
      <c r="AD97" s="0" t="n">
        <v>18.01182</v>
      </c>
      <c r="AE97" s="0" t="n">
        <f aca="false">_xlfn.T.TEST(D97:J97,K97:W97,1,2)</f>
        <v>0.308384973524458</v>
      </c>
      <c r="AF97" s="0" t="n">
        <f aca="false">_xlfn.T.TEST(K97:W97,X97:AD97,1,2)</f>
        <v>0.215381464185179</v>
      </c>
      <c r="AG97" s="0" t="n">
        <f aca="false">_xlfn.T.TEST(D97:J97,X97:AD97,1,2)</f>
        <v>0.158921912266191</v>
      </c>
      <c r="AH97" s="0" t="n">
        <v>0.846215735546459</v>
      </c>
    </row>
    <row r="98" customFormat="false" ht="15" hidden="false" customHeight="false" outlineLevel="0" collapsed="false">
      <c r="A98" s="0" t="s">
        <v>82</v>
      </c>
      <c r="B98" s="0" t="s">
        <v>80</v>
      </c>
      <c r="C98" s="0" t="s">
        <v>81</v>
      </c>
      <c r="D98" s="0" t="n">
        <v>17.31761</v>
      </c>
      <c r="E98" s="0" t="n">
        <v>15.84736</v>
      </c>
      <c r="F98" s="0" t="n">
        <v>15.84215</v>
      </c>
      <c r="G98" s="0" t="n">
        <v>17.23248</v>
      </c>
      <c r="H98" s="0" t="n">
        <v>17.40541</v>
      </c>
      <c r="I98" s="0" t="n">
        <v>17.0525</v>
      </c>
      <c r="J98" s="0" t="n">
        <v>14.01111</v>
      </c>
      <c r="K98" s="0" t="n">
        <v>16.77069</v>
      </c>
      <c r="L98" s="0" t="n">
        <v>17.20581</v>
      </c>
      <c r="M98" s="0" t="n">
        <v>18.24307</v>
      </c>
      <c r="N98" s="0" t="n">
        <v>17.36481</v>
      </c>
      <c r="O98" s="0" t="n">
        <v>17.51198</v>
      </c>
      <c r="P98" s="0" t="n">
        <v>16.19737</v>
      </c>
      <c r="Q98" s="0" t="n">
        <v>16.02228</v>
      </c>
      <c r="R98" s="0" t="n">
        <v>17.37008</v>
      </c>
      <c r="S98" s="0" t="n">
        <v>16.48129</v>
      </c>
      <c r="T98" s="0" t="n">
        <v>15.21999</v>
      </c>
      <c r="U98" s="0" t="n">
        <v>12.82417</v>
      </c>
      <c r="V98" s="0" t="n">
        <v>13.82869</v>
      </c>
      <c r="W98" s="0" t="n">
        <v>17.32052</v>
      </c>
      <c r="X98" s="0" t="n">
        <v>16.57911</v>
      </c>
      <c r="Y98" s="0" t="n">
        <v>16.81328</v>
      </c>
      <c r="Z98" s="0" t="n">
        <v>13.9518</v>
      </c>
      <c r="AA98" s="0" t="n">
        <v>14.4807</v>
      </c>
      <c r="AB98" s="0" t="n">
        <v>16.74491</v>
      </c>
      <c r="AC98" s="0" t="n">
        <v>17.5974</v>
      </c>
      <c r="AD98" s="0" t="n">
        <v>16.54329</v>
      </c>
      <c r="AE98" s="0" t="n">
        <f aca="false">_xlfn.T.TEST(D98:J98,K98:W98,1,2)</f>
        <v>0.470420749671849</v>
      </c>
      <c r="AF98" s="0" t="n">
        <f aca="false">_xlfn.T.TEST(K98:W98,X98:AD98,1,2)</f>
        <v>0.370678968677241</v>
      </c>
      <c r="AG98" s="0" t="n">
        <f aca="false">_xlfn.T.TEST(D98:J98,X98:AD98,1,2)</f>
        <v>0.34366659552484</v>
      </c>
      <c r="AH98" s="0" t="n">
        <v>0.889441083099604</v>
      </c>
    </row>
    <row r="99" customFormat="false" ht="15" hidden="false" customHeight="false" outlineLevel="0" collapsed="false">
      <c r="A99" s="0" t="s">
        <v>475</v>
      </c>
      <c r="B99" s="0" t="s">
        <v>473</v>
      </c>
      <c r="C99" s="0" t="s">
        <v>474</v>
      </c>
      <c r="D99" s="0" t="n">
        <v>18.01416</v>
      </c>
      <c r="E99" s="0" t="n">
        <v>18.01334</v>
      </c>
      <c r="F99" s="0" t="n">
        <v>17.68463</v>
      </c>
      <c r="G99" s="0" t="n">
        <v>16.36651</v>
      </c>
      <c r="H99" s="0" t="n">
        <v>17.46036</v>
      </c>
      <c r="I99" s="0" t="n">
        <v>17.54238</v>
      </c>
      <c r="J99" s="0" t="n">
        <v>17.27621</v>
      </c>
      <c r="K99" s="0" t="n">
        <v>18.2937</v>
      </c>
      <c r="L99" s="0" t="n">
        <v>17.29894</v>
      </c>
      <c r="M99" s="0" t="n">
        <v>17.42931</v>
      </c>
      <c r="N99" s="0" t="n">
        <v>16.81416</v>
      </c>
      <c r="O99" s="0" t="n">
        <v>16.37772</v>
      </c>
      <c r="P99" s="0" t="n">
        <v>18.57245</v>
      </c>
      <c r="Q99" s="0" t="n">
        <v>18.89051</v>
      </c>
      <c r="R99" s="0" t="n">
        <v>17.1433</v>
      </c>
      <c r="S99" s="0" t="n">
        <v>17.62557</v>
      </c>
      <c r="T99" s="0" t="n">
        <v>18.24623</v>
      </c>
      <c r="U99" s="0" t="n">
        <v>17.54857</v>
      </c>
      <c r="V99" s="0" t="n">
        <v>17.22213</v>
      </c>
      <c r="W99" s="0" t="n">
        <v>17.4935</v>
      </c>
      <c r="X99" s="0" t="n">
        <v>17.01531</v>
      </c>
      <c r="Y99" s="0" t="n">
        <v>17.77822</v>
      </c>
      <c r="Z99" s="0" t="n">
        <v>17.64997</v>
      </c>
      <c r="AA99" s="0" t="n">
        <v>17.86278</v>
      </c>
      <c r="AB99" s="0" t="n">
        <v>17.49826</v>
      </c>
      <c r="AC99" s="0" t="n">
        <v>17.80032</v>
      </c>
      <c r="AD99" s="0" t="n">
        <v>18.49518</v>
      </c>
      <c r="AE99" s="0" t="n">
        <f aca="false">_xlfn.T.TEST(D99:J99,K99:W99,1,2)</f>
        <v>0.338508853918977</v>
      </c>
      <c r="AF99" s="0" t="n">
        <f aca="false">_xlfn.T.TEST(K99:W99,X99:AD99,1,2)</f>
        <v>0.350261827374359</v>
      </c>
      <c r="AG99" s="0" t="n">
        <f aca="false">_xlfn.T.TEST(D99:J99,X99:AD99,1,2)</f>
        <v>0.187995661335129</v>
      </c>
      <c r="AH99" s="0" t="n">
        <v>0.891385535152834</v>
      </c>
    </row>
    <row r="100" customFormat="false" ht="15" hidden="false" customHeight="false" outlineLevel="0" collapsed="false">
      <c r="A100" s="0" t="s">
        <v>343</v>
      </c>
      <c r="B100" s="0" t="s">
        <v>341</v>
      </c>
      <c r="C100" s="0" t="s">
        <v>342</v>
      </c>
      <c r="D100" s="0" t="n">
        <v>20.67323</v>
      </c>
      <c r="E100" s="0" t="n">
        <v>20.55366</v>
      </c>
      <c r="F100" s="0" t="n">
        <v>20.29827</v>
      </c>
      <c r="G100" s="0" t="n">
        <v>20.10955</v>
      </c>
      <c r="H100" s="0" t="n">
        <v>20.88338</v>
      </c>
      <c r="I100" s="0" t="n">
        <v>20.74501</v>
      </c>
      <c r="J100" s="0" t="n">
        <v>20.1317</v>
      </c>
      <c r="K100" s="0" t="n">
        <v>21.11769</v>
      </c>
      <c r="L100" s="0" t="n">
        <v>20.17341</v>
      </c>
      <c r="M100" s="0" t="n">
        <v>19.04759</v>
      </c>
      <c r="N100" s="0" t="n">
        <v>17.5418</v>
      </c>
      <c r="O100" s="0" t="n">
        <v>18.67635</v>
      </c>
      <c r="P100" s="0" t="n">
        <v>20.93948</v>
      </c>
      <c r="Q100" s="0" t="n">
        <v>22.78919</v>
      </c>
      <c r="R100" s="0" t="n">
        <v>20.41204</v>
      </c>
      <c r="S100" s="0" t="n">
        <v>20.14258</v>
      </c>
      <c r="T100" s="0" t="n">
        <v>21.38132</v>
      </c>
      <c r="U100" s="0" t="n">
        <v>21.17292</v>
      </c>
      <c r="V100" s="0" t="n">
        <v>20.27912</v>
      </c>
      <c r="W100" s="0" t="n">
        <v>20.24272</v>
      </c>
      <c r="X100" s="0" t="n">
        <v>20.8906</v>
      </c>
      <c r="Y100" s="0" t="n">
        <v>19.32419</v>
      </c>
      <c r="Z100" s="0" t="n">
        <v>21.04993</v>
      </c>
      <c r="AA100" s="0" t="n">
        <v>20.53905</v>
      </c>
      <c r="AB100" s="0" t="n">
        <v>20.12389</v>
      </c>
      <c r="AC100" s="0" t="n">
        <v>21.05966</v>
      </c>
      <c r="AD100" s="0" t="n">
        <v>19.6308</v>
      </c>
      <c r="AE100" s="0" t="n">
        <f aca="false">_xlfn.T.TEST(D100:J100,K100:W100,1,2)</f>
        <v>0.362470881042139</v>
      </c>
      <c r="AF100" s="0" t="n">
        <f aca="false">_xlfn.T.TEST(K100:W100,X100:AD100,1,2)</f>
        <v>0.447291509225421</v>
      </c>
      <c r="AG100" s="0" t="n">
        <f aca="false">_xlfn.T.TEST(D100:J100,X100:AD100,1,2)</f>
        <v>0.353822856765603</v>
      </c>
      <c r="AH100" s="0" t="n">
        <v>0.893973505311488</v>
      </c>
    </row>
    <row r="101" customFormat="false" ht="15" hidden="false" customHeight="false" outlineLevel="0" collapsed="false">
      <c r="B101" s="0" t="s">
        <v>99</v>
      </c>
      <c r="D101" s="0" t="n">
        <v>17.30742</v>
      </c>
      <c r="E101" s="0" t="n">
        <v>18.10952</v>
      </c>
      <c r="F101" s="0" t="n">
        <v>16.67278</v>
      </c>
      <c r="G101" s="0" t="n">
        <v>16.83022</v>
      </c>
      <c r="H101" s="0" t="n">
        <v>18.73085</v>
      </c>
      <c r="I101" s="0" t="n">
        <v>17.72421</v>
      </c>
      <c r="J101" s="0" t="n">
        <v>16.63793</v>
      </c>
      <c r="K101" s="0" t="n">
        <v>18.33259</v>
      </c>
      <c r="L101" s="0" t="n">
        <v>17.66477</v>
      </c>
      <c r="M101" s="0" t="n">
        <v>16.86882</v>
      </c>
      <c r="N101" s="0" t="n">
        <v>17.5491</v>
      </c>
      <c r="O101" s="0" t="n">
        <v>16.11537</v>
      </c>
      <c r="P101" s="0" t="n">
        <v>17.19902</v>
      </c>
      <c r="Q101" s="0" t="n">
        <v>18.05992</v>
      </c>
      <c r="R101" s="0" t="n">
        <v>15.82143</v>
      </c>
      <c r="S101" s="0" t="n">
        <v>18.27034</v>
      </c>
      <c r="T101" s="0" t="n">
        <v>17.30207</v>
      </c>
      <c r="U101" s="0" t="n">
        <v>17.32052</v>
      </c>
      <c r="V101" s="0" t="n">
        <v>17.84623</v>
      </c>
      <c r="W101" s="0" t="n">
        <v>17.85745</v>
      </c>
      <c r="X101" s="0" t="n">
        <v>18.27317</v>
      </c>
      <c r="Y101" s="0" t="n">
        <v>17.10083</v>
      </c>
      <c r="Z101" s="0" t="n">
        <v>18.2564</v>
      </c>
      <c r="AA101" s="0" t="n">
        <v>17.80945</v>
      </c>
      <c r="AB101" s="0" t="n">
        <v>17.47564</v>
      </c>
      <c r="AC101" s="0" t="n">
        <v>16.52254</v>
      </c>
      <c r="AD101" s="0" t="n">
        <v>17.94261</v>
      </c>
      <c r="AE101" s="0" t="n">
        <f aca="false">_xlfn.T.TEST(D101:J101,K101:W101,1,2)</f>
        <v>0.467806234549009</v>
      </c>
      <c r="AF101" s="0" t="n">
        <f aca="false">_xlfn.T.TEST(K101:W101,X101:AD101,1,2)</f>
        <v>0.258515707862946</v>
      </c>
      <c r="AG101" s="0" t="n">
        <f aca="false">_xlfn.T.TEST(D101:J101,X101:AD101,1,2)</f>
        <v>0.311283707089345</v>
      </c>
      <c r="AH101" s="0" t="n">
        <v>0.897235658583555</v>
      </c>
    </row>
    <row r="102" customFormat="false" ht="15" hidden="false" customHeight="false" outlineLevel="0" collapsed="false">
      <c r="A102" s="0" t="s">
        <v>393</v>
      </c>
      <c r="B102" s="0" t="s">
        <v>391</v>
      </c>
      <c r="C102" s="0" t="s">
        <v>392</v>
      </c>
      <c r="D102" s="0" t="n">
        <v>17.29894</v>
      </c>
      <c r="E102" s="0" t="n">
        <v>17.88697</v>
      </c>
      <c r="F102" s="0" t="n">
        <v>18.46981</v>
      </c>
      <c r="G102" s="0" t="n">
        <v>17.81616</v>
      </c>
      <c r="H102" s="0" t="n">
        <v>17.53062</v>
      </c>
      <c r="I102" s="0" t="n">
        <v>19.3057</v>
      </c>
      <c r="J102" s="0" t="n">
        <v>18.44593</v>
      </c>
      <c r="K102" s="0" t="n">
        <v>19.05104</v>
      </c>
      <c r="L102" s="0" t="n">
        <v>18.27139</v>
      </c>
      <c r="M102" s="0" t="n">
        <v>18.11807</v>
      </c>
      <c r="N102" s="0" t="n">
        <v>17.34252</v>
      </c>
      <c r="O102" s="0" t="n">
        <v>18.21457</v>
      </c>
      <c r="P102" s="0" t="n">
        <v>20.2739</v>
      </c>
      <c r="Q102" s="0" t="n">
        <v>17.49755</v>
      </c>
      <c r="R102" s="0" t="n">
        <v>16.39361</v>
      </c>
      <c r="S102" s="0" t="n">
        <v>18.39456</v>
      </c>
      <c r="T102" s="0" t="n">
        <v>18.03166</v>
      </c>
      <c r="U102" s="0" t="n">
        <v>18.29069</v>
      </c>
      <c r="V102" s="0" t="n">
        <v>17.88876</v>
      </c>
      <c r="W102" s="0" t="n">
        <v>18.50804</v>
      </c>
      <c r="X102" s="0" t="n">
        <v>18.89995</v>
      </c>
      <c r="Y102" s="0" t="n">
        <v>18.06471</v>
      </c>
      <c r="Z102" s="0" t="n">
        <v>18.47005</v>
      </c>
      <c r="AA102" s="0" t="n">
        <v>18.62435</v>
      </c>
      <c r="AB102" s="0" t="n">
        <v>18.52822</v>
      </c>
      <c r="AC102" s="0" t="n">
        <v>17.17806</v>
      </c>
      <c r="AD102" s="0" t="n">
        <v>18.29988</v>
      </c>
      <c r="AE102" s="0" t="n">
        <f aca="false">_xlfn.T.TEST(D102:J102,K102:W102,1,2)</f>
        <v>0.432739684414294</v>
      </c>
      <c r="AF102" s="0" t="n">
        <f aca="false">_xlfn.T.TEST(K102:W102,X102:AD102,1,2)</f>
        <v>0.377067294592552</v>
      </c>
      <c r="AG102" s="0" t="n">
        <f aca="false">_xlfn.T.TEST(D102:J102,X102:AD102,1,2)</f>
        <v>0.292164913760545</v>
      </c>
      <c r="AH102" s="0" t="n">
        <v>0.913127587842672</v>
      </c>
    </row>
    <row r="103" customFormat="false" ht="15" hidden="false" customHeight="false" outlineLevel="0" collapsed="false">
      <c r="A103" s="0" t="s">
        <v>68</v>
      </c>
      <c r="B103" s="0" t="s">
        <v>66</v>
      </c>
      <c r="C103" s="0" t="s">
        <v>67</v>
      </c>
      <c r="D103" s="0" t="n">
        <v>22.60987</v>
      </c>
      <c r="E103" s="0" t="n">
        <v>19.68212</v>
      </c>
      <c r="F103" s="0" t="n">
        <v>22.04283</v>
      </c>
      <c r="G103" s="0" t="n">
        <v>20.24342</v>
      </c>
      <c r="H103" s="0" t="n">
        <v>19.26611</v>
      </c>
      <c r="I103" s="0" t="n">
        <v>20.97463</v>
      </c>
      <c r="J103" s="0" t="n">
        <v>22.02608</v>
      </c>
      <c r="K103" s="0" t="n">
        <v>21.01161</v>
      </c>
      <c r="L103" s="0" t="n">
        <v>20.72949</v>
      </c>
      <c r="M103" s="0" t="n">
        <v>21.95358</v>
      </c>
      <c r="N103" s="0" t="n">
        <v>22.06835</v>
      </c>
      <c r="O103" s="0" t="n">
        <v>22.63533</v>
      </c>
      <c r="P103" s="0" t="n">
        <v>20.03658</v>
      </c>
      <c r="Q103" s="0" t="n">
        <v>20.23806</v>
      </c>
      <c r="R103" s="0" t="n">
        <v>22.39338</v>
      </c>
      <c r="S103" s="0" t="n">
        <v>21.37523</v>
      </c>
      <c r="T103" s="0" t="n">
        <v>20.78556</v>
      </c>
      <c r="U103" s="0" t="n">
        <v>19.66939</v>
      </c>
      <c r="V103" s="0" t="n">
        <v>20.54123</v>
      </c>
      <c r="W103" s="0" t="n">
        <v>20.61711</v>
      </c>
      <c r="X103" s="0" t="n">
        <v>20.76093</v>
      </c>
      <c r="Y103" s="0" t="n">
        <v>22.65611</v>
      </c>
      <c r="Z103" s="0" t="n">
        <v>19.59396</v>
      </c>
      <c r="AA103" s="0" t="n">
        <v>19.9851</v>
      </c>
      <c r="AB103" s="0" t="n">
        <v>21.16987</v>
      </c>
      <c r="AC103" s="0" t="n">
        <v>20.99079</v>
      </c>
      <c r="AD103" s="0" t="n">
        <v>20.2876</v>
      </c>
      <c r="AE103" s="0" t="n">
        <f aca="false">_xlfn.T.TEST(D103:J103,K103:W103,1,2)</f>
        <v>0.41942700429748</v>
      </c>
      <c r="AF103" s="0" t="n">
        <f aca="false">_xlfn.T.TEST(K103:W103,X103:AD103,1,2)</f>
        <v>0.253685833658172</v>
      </c>
      <c r="AG103" s="0" t="n">
        <f aca="false">_xlfn.T.TEST(D103:J103,X103:AD103,1,2)</f>
        <v>0.375842514762687</v>
      </c>
      <c r="AH103" s="0" t="n">
        <v>0.913428632487206</v>
      </c>
    </row>
    <row r="104" customFormat="false" ht="15" hidden="false" customHeight="false" outlineLevel="0" collapsed="false">
      <c r="A104" s="0" t="s">
        <v>283</v>
      </c>
      <c r="B104" s="0" t="s">
        <v>281</v>
      </c>
      <c r="C104" s="0" t="s">
        <v>282</v>
      </c>
      <c r="D104" s="0" t="n">
        <v>18.35978</v>
      </c>
      <c r="E104" s="0" t="n">
        <v>18.69129</v>
      </c>
      <c r="F104" s="0" t="n">
        <v>20.54633</v>
      </c>
      <c r="G104" s="0" t="n">
        <v>18.4866</v>
      </c>
      <c r="H104" s="0" t="n">
        <v>20.08486</v>
      </c>
      <c r="I104" s="0" t="n">
        <v>20.14582</v>
      </c>
      <c r="J104" s="0" t="n">
        <v>17.99772</v>
      </c>
      <c r="K104" s="0" t="n">
        <v>19.5368</v>
      </c>
      <c r="L104" s="0" t="n">
        <v>19.59274</v>
      </c>
      <c r="M104" s="0" t="n">
        <v>19.07418</v>
      </c>
      <c r="N104" s="0" t="n">
        <v>19.42325</v>
      </c>
      <c r="O104" s="0" t="n">
        <v>17.42095</v>
      </c>
      <c r="P104" s="0" t="n">
        <v>19.22873</v>
      </c>
      <c r="Q104" s="0" t="n">
        <v>19.50133</v>
      </c>
      <c r="R104" s="0" t="n">
        <v>17.53754</v>
      </c>
      <c r="S104" s="0" t="n">
        <v>19.54272</v>
      </c>
      <c r="T104" s="0" t="n">
        <v>19.28141</v>
      </c>
      <c r="U104" s="0" t="n">
        <v>19.22541</v>
      </c>
      <c r="V104" s="0" t="n">
        <v>18.692</v>
      </c>
      <c r="W104" s="0" t="n">
        <v>19.6163</v>
      </c>
      <c r="X104" s="0" t="n">
        <v>18.9322</v>
      </c>
      <c r="Y104" s="0" t="n">
        <v>18.06139</v>
      </c>
      <c r="Z104" s="0" t="n">
        <v>18.95433</v>
      </c>
      <c r="AA104" s="0" t="n">
        <v>18.63062</v>
      </c>
      <c r="AB104" s="0" t="n">
        <v>20.42818</v>
      </c>
      <c r="AC104" s="0" t="n">
        <v>19.32092</v>
      </c>
      <c r="AD104" s="0" t="n">
        <v>20.00003</v>
      </c>
      <c r="AE104" s="0" t="n">
        <f aca="false">_xlfn.T.TEST(D104:J104,K104:W104,1,2)</f>
        <v>0.368840286873888</v>
      </c>
      <c r="AF104" s="0" t="n">
        <f aca="false">_xlfn.T.TEST(K104:W104,X104:AD104,1,2)</f>
        <v>0.352618081698058</v>
      </c>
      <c r="AG104" s="0" t="n">
        <f aca="false">_xlfn.T.TEST(D104:J104,X104:AD104,1,2)</f>
        <v>0.498280793860379</v>
      </c>
      <c r="AH104" s="0" t="n">
        <v>0.936230838592294</v>
      </c>
    </row>
    <row r="105" customFormat="false" ht="15" hidden="false" customHeight="false" outlineLevel="0" collapsed="false">
      <c r="A105" s="0" t="s">
        <v>512</v>
      </c>
      <c r="B105" s="0" t="s">
        <v>510</v>
      </c>
      <c r="C105" s="0" t="s">
        <v>511</v>
      </c>
      <c r="D105" s="0" t="n">
        <v>14.137</v>
      </c>
      <c r="E105" s="0" t="n">
        <v>15.61367</v>
      </c>
      <c r="F105" s="0" t="n">
        <v>15.98201</v>
      </c>
      <c r="G105" s="0" t="n">
        <v>15.25425</v>
      </c>
      <c r="H105" s="0" t="n">
        <v>15.04883</v>
      </c>
      <c r="I105" s="0" t="n">
        <v>15.56114</v>
      </c>
      <c r="J105" s="0" t="n">
        <v>15.14808</v>
      </c>
      <c r="K105" s="0" t="n">
        <v>15.20637</v>
      </c>
      <c r="L105" s="0" t="n">
        <v>13.84486</v>
      </c>
      <c r="M105" s="0" t="n">
        <v>14.44178</v>
      </c>
      <c r="N105" s="0" t="n">
        <v>17.50481</v>
      </c>
      <c r="O105" s="0" t="n">
        <v>14.08622</v>
      </c>
      <c r="P105" s="0" t="n">
        <v>15.68162</v>
      </c>
      <c r="Q105" s="0" t="n">
        <v>15.86629</v>
      </c>
      <c r="R105" s="0" t="n">
        <v>14.2396</v>
      </c>
      <c r="S105" s="0" t="n">
        <v>14.55243</v>
      </c>
      <c r="T105" s="0" t="n">
        <v>15.61278</v>
      </c>
      <c r="U105" s="0" t="n">
        <v>15.34385</v>
      </c>
      <c r="V105" s="0" t="n">
        <v>15.19645</v>
      </c>
      <c r="W105" s="0" t="n">
        <v>15.38647</v>
      </c>
      <c r="X105" s="0" t="n">
        <v>14.65352</v>
      </c>
      <c r="Y105" s="0" t="n">
        <v>15.22</v>
      </c>
      <c r="Z105" s="0" t="n">
        <v>14.94869</v>
      </c>
      <c r="AA105" s="0" t="n">
        <v>15.71443</v>
      </c>
      <c r="AB105" s="0" t="n">
        <v>15.45533</v>
      </c>
      <c r="AC105" s="0" t="n">
        <v>14.95256</v>
      </c>
      <c r="AD105" s="0" t="n">
        <v>15.81496</v>
      </c>
      <c r="AE105" s="0" t="n">
        <f aca="false">_xlfn.T.TEST(D105:J105,K105:W105,1,2)</f>
        <v>0.404833122902776</v>
      </c>
      <c r="AF105" s="0" t="n">
        <f aca="false">_xlfn.T.TEST(K105:W105,X105:AD105,1,2)</f>
        <v>0.399299548437456</v>
      </c>
      <c r="AG105" s="0" t="n">
        <f aca="false">_xlfn.T.TEST(D105:J105,X105:AD105,1,2)</f>
        <v>0.497050808035681</v>
      </c>
      <c r="AH105" s="0" t="n">
        <v>0.961697905043501</v>
      </c>
    </row>
    <row r="106" customFormat="false" ht="15" hidden="false" customHeight="false" outlineLevel="0" collapsed="false">
      <c r="A106" s="0" t="s">
        <v>274</v>
      </c>
      <c r="B106" s="0" t="s">
        <v>272</v>
      </c>
      <c r="C106" s="0" t="s">
        <v>273</v>
      </c>
      <c r="D106" s="0" t="n">
        <v>18.45033</v>
      </c>
      <c r="E106" s="0" t="n">
        <v>17.59754</v>
      </c>
      <c r="F106" s="0" t="n">
        <v>19.78078</v>
      </c>
      <c r="G106" s="0" t="n">
        <v>18.60415</v>
      </c>
      <c r="H106" s="0" t="n">
        <v>18.79541</v>
      </c>
      <c r="I106" s="0" t="n">
        <v>19.7196</v>
      </c>
      <c r="J106" s="0" t="n">
        <v>18.76804</v>
      </c>
      <c r="K106" s="0" t="n">
        <v>18.92004</v>
      </c>
      <c r="L106" s="0" t="n">
        <v>18.65449</v>
      </c>
      <c r="M106" s="0" t="n">
        <v>19.13616</v>
      </c>
      <c r="N106" s="0" t="n">
        <v>17.81916</v>
      </c>
      <c r="O106" s="0" t="n">
        <v>18.62325</v>
      </c>
      <c r="P106" s="0" t="n">
        <v>18.44964</v>
      </c>
      <c r="Q106" s="0" t="n">
        <v>20.92143</v>
      </c>
      <c r="R106" s="0" t="n">
        <v>18.89235</v>
      </c>
      <c r="S106" s="0" t="n">
        <v>18.90027</v>
      </c>
      <c r="T106" s="0" t="n">
        <v>18.3673</v>
      </c>
      <c r="U106" s="0" t="n">
        <v>18.86701</v>
      </c>
      <c r="V106" s="0" t="n">
        <v>19.10771</v>
      </c>
      <c r="W106" s="0" t="n">
        <v>19.00906</v>
      </c>
      <c r="X106" s="0" t="n">
        <v>19.59368</v>
      </c>
      <c r="Y106" s="0" t="n">
        <v>18.18732</v>
      </c>
      <c r="Z106" s="0" t="n">
        <v>18.52917</v>
      </c>
      <c r="AA106" s="0" t="n">
        <v>18.83381</v>
      </c>
      <c r="AB106" s="0" t="n">
        <v>19.49203</v>
      </c>
      <c r="AC106" s="0" t="n">
        <v>18.40266</v>
      </c>
      <c r="AD106" s="0" t="n">
        <v>19.35935</v>
      </c>
      <c r="AE106" s="0" t="n">
        <f aca="false">_xlfn.T.TEST(D106:J106,K106:W106,1,2)</f>
        <v>0.406908819829052</v>
      </c>
      <c r="AF106" s="0" t="n">
        <f aca="false">_xlfn.T.TEST(K106:W106,X106:AD106,1,2)</f>
        <v>0.479178112982671</v>
      </c>
      <c r="AG106" s="0" t="n">
        <f aca="false">_xlfn.T.TEST(D106:J106,X106:AD106,1,2)</f>
        <v>0.394745090926292</v>
      </c>
      <c r="AH106" s="0" t="n">
        <v>0.965643856305222</v>
      </c>
    </row>
    <row r="107" customFormat="false" ht="15" hidden="false" customHeight="false" outlineLevel="0" collapsed="false">
      <c r="A107" s="0" t="s">
        <v>93</v>
      </c>
      <c r="B107" s="0" t="s">
        <v>92</v>
      </c>
      <c r="D107" s="0" t="n">
        <v>15.51511</v>
      </c>
      <c r="E107" s="0" t="n">
        <v>14.93171</v>
      </c>
      <c r="F107" s="0" t="n">
        <v>16.71923</v>
      </c>
      <c r="G107" s="0" t="n">
        <v>14.56277</v>
      </c>
      <c r="H107" s="0" t="n">
        <v>15.16034</v>
      </c>
      <c r="I107" s="0" t="n">
        <v>13.63901</v>
      </c>
      <c r="J107" s="0" t="n">
        <v>14.82481</v>
      </c>
      <c r="K107" s="0" t="n">
        <v>14.72946</v>
      </c>
      <c r="L107" s="0" t="n">
        <v>15.09931</v>
      </c>
      <c r="M107" s="0" t="n">
        <v>14.61442</v>
      </c>
      <c r="N107" s="0" t="n">
        <v>17.53566</v>
      </c>
      <c r="O107" s="0" t="n">
        <v>14.59205</v>
      </c>
      <c r="P107" s="0" t="n">
        <v>15.33811</v>
      </c>
      <c r="Q107" s="0" t="n">
        <v>14.1145</v>
      </c>
      <c r="R107" s="0" t="n">
        <v>14.36994</v>
      </c>
      <c r="S107" s="0" t="n">
        <v>15.45478</v>
      </c>
      <c r="T107" s="0" t="n">
        <v>14.94618</v>
      </c>
      <c r="U107" s="0" t="n">
        <v>14.80937</v>
      </c>
      <c r="V107" s="0" t="n">
        <v>14.878</v>
      </c>
      <c r="W107" s="0" t="n">
        <v>14.97777</v>
      </c>
      <c r="X107" s="0" t="n">
        <v>14.90176</v>
      </c>
      <c r="Y107" s="0" t="n">
        <v>14.0985</v>
      </c>
      <c r="Z107" s="0" t="n">
        <v>15.41029</v>
      </c>
      <c r="AA107" s="0" t="n">
        <v>14.92528</v>
      </c>
      <c r="AB107" s="0" t="n">
        <v>15.01398</v>
      </c>
      <c r="AC107" s="0" t="n">
        <v>16.16383</v>
      </c>
      <c r="AD107" s="0" t="n">
        <v>14.99103</v>
      </c>
      <c r="AE107" s="0" t="n">
        <f aca="false">_xlfn.T.TEST(D107:J107,K107:W107,1,2)</f>
        <v>0.485488396012104</v>
      </c>
      <c r="AF107" s="0" t="n">
        <f aca="false">_xlfn.T.TEST(K107:W107,X107:AD107,1,2)</f>
        <v>0.460042948871584</v>
      </c>
      <c r="AG107" s="0" t="n">
        <f aca="false">_xlfn.T.TEST(D107:J107,X107:AD107,1,2)</f>
        <v>0.480134244413249</v>
      </c>
      <c r="AH107" s="0" t="n">
        <v>0.992567489965518</v>
      </c>
    </row>
    <row r="108" customFormat="false" ht="15" hidden="false" customHeight="false" outlineLevel="0" collapsed="false">
      <c r="A108" s="0" t="s">
        <v>465</v>
      </c>
      <c r="B108" s="0" t="s">
        <v>463</v>
      </c>
      <c r="C108" s="0" t="s">
        <v>464</v>
      </c>
      <c r="D108" s="0" t="n">
        <v>18.74258</v>
      </c>
      <c r="E108" s="0" t="n">
        <v>20.3739</v>
      </c>
      <c r="F108" s="0" t="n">
        <v>19.47203</v>
      </c>
      <c r="G108" s="0" t="n">
        <v>18.95875</v>
      </c>
      <c r="H108" s="0" t="n">
        <v>19.41394</v>
      </c>
      <c r="I108" s="0" t="n">
        <v>18.9999</v>
      </c>
      <c r="J108" s="0" t="n">
        <v>19.19998</v>
      </c>
      <c r="K108" s="0" t="n">
        <v>18.6988</v>
      </c>
      <c r="L108" s="0" t="n">
        <v>19.05006</v>
      </c>
      <c r="M108" s="0" t="n">
        <v>19.60845</v>
      </c>
      <c r="N108" s="0" t="n">
        <v>16.06647</v>
      </c>
      <c r="O108" s="0" t="n">
        <v>20.13207</v>
      </c>
      <c r="P108" s="0" t="n">
        <v>19.56205</v>
      </c>
      <c r="Q108" s="0" t="n">
        <v>21.12711</v>
      </c>
      <c r="R108" s="0" t="n">
        <v>19.39597</v>
      </c>
      <c r="S108" s="0" t="n">
        <v>20.04153</v>
      </c>
      <c r="T108" s="0" t="n">
        <v>20.09249</v>
      </c>
      <c r="U108" s="0" t="n">
        <v>19.55617</v>
      </c>
      <c r="V108" s="0" t="n">
        <v>18.92989</v>
      </c>
      <c r="W108" s="0" t="n">
        <v>18.69619</v>
      </c>
      <c r="X108" s="0" t="n">
        <v>19.5465</v>
      </c>
      <c r="Y108" s="0" t="n">
        <v>18.55281</v>
      </c>
      <c r="Z108" s="0" t="n">
        <v>19.70875</v>
      </c>
      <c r="AA108" s="0" t="n">
        <v>19.30189</v>
      </c>
      <c r="AB108" s="0" t="n">
        <v>19.60932</v>
      </c>
      <c r="AC108" s="0" t="n">
        <v>19.30301</v>
      </c>
      <c r="AD108" s="0" t="n">
        <v>19.06129</v>
      </c>
      <c r="AE108" s="0" t="n">
        <f aca="false">_xlfn.T.TEST(D108:J108,K108:W108,1,2)</f>
        <v>0.496427203770329</v>
      </c>
      <c r="AF108" s="0" t="n">
        <f aca="false">_xlfn.T.TEST(K108:W108,X108:AD108,1,2)</f>
        <v>0.494297459949268</v>
      </c>
      <c r="AG108" s="0" t="n">
        <f aca="false">_xlfn.T.TEST(D108:J108,X108:AD108,1,2)</f>
        <v>0.482818621790062</v>
      </c>
      <c r="AH108" s="0" t="n">
        <v>0.997305807650036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3.8" zeroHeight="false" outlineLevelRow="0" outlineLevelCol="0"/>
  <cols>
    <col collapsed="false" customWidth="true" hidden="false" outlineLevel="0" max="1" min="1" style="0" width="34.57"/>
    <col collapsed="false" customWidth="true" hidden="false" outlineLevel="0" max="2" min="2" style="8" width="14.14"/>
    <col collapsed="false" customWidth="true" hidden="false" outlineLevel="0" max="3" min="3" style="9" width="13.85"/>
    <col collapsed="false" customWidth="true" hidden="false" outlineLevel="0" max="4" min="4" style="9" width="12.43"/>
    <col collapsed="false" customWidth="true" hidden="false" outlineLevel="0" max="5" min="5" style="9" width="12.28"/>
    <col collapsed="false" customWidth="true" hidden="false" outlineLevel="0" max="6" min="6" style="9" width="13.71"/>
    <col collapsed="false" customWidth="true" hidden="false" outlineLevel="0" max="7" min="7" style="9" width="14.28"/>
    <col collapsed="false" customWidth="true" hidden="false" outlineLevel="0" max="8" min="8" style="10" width="14.14"/>
    <col collapsed="false" customWidth="true" hidden="false" outlineLevel="0" max="9" min="9" style="0" width="14.28"/>
    <col collapsed="false" customWidth="true" hidden="false" outlineLevel="0" max="10" min="10" style="0" width="14"/>
    <col collapsed="false" customWidth="true" hidden="false" outlineLevel="0" max="11" min="11" style="0" width="13.14"/>
    <col collapsed="false" customWidth="true" hidden="false" outlineLevel="0" max="12" min="12" style="0" width="13.28"/>
    <col collapsed="false" customWidth="true" hidden="false" outlineLevel="0" max="13" min="13" style="0" width="13.57"/>
    <col collapsed="false" customWidth="true" hidden="false" outlineLevel="0" max="14" min="14" style="0" width="14"/>
    <col collapsed="false" customWidth="true" hidden="false" outlineLevel="0" max="15" min="15" style="0" width="13.57"/>
    <col collapsed="false" customWidth="true" hidden="false" outlineLevel="0" max="16" min="16" style="0" width="14.14"/>
    <col collapsed="false" customWidth="true" hidden="false" outlineLevel="0" max="17" min="17" style="0" width="14"/>
    <col collapsed="false" customWidth="true" hidden="false" outlineLevel="0" max="18" min="18" style="0" width="14.28"/>
    <col collapsed="false" customWidth="true" hidden="false" outlineLevel="0" max="19" min="19" style="0" width="12.57"/>
    <col collapsed="false" customWidth="true" hidden="false" outlineLevel="0" max="20" min="20" style="0" width="14.28"/>
    <col collapsed="false" customWidth="true" hidden="false" outlineLevel="0" max="21" min="21" style="0" width="12.71"/>
    <col collapsed="false" customWidth="true" hidden="false" outlineLevel="0" max="22" min="22" style="8" width="13.57"/>
    <col collapsed="false" customWidth="true" hidden="false" outlineLevel="0" max="23" min="23" style="9" width="14.28"/>
    <col collapsed="false" customWidth="true" hidden="false" outlineLevel="0" max="24" min="24" style="9" width="13.57"/>
    <col collapsed="false" customWidth="true" hidden="false" outlineLevel="0" max="27" min="25" style="9" width="14.28"/>
    <col collapsed="false" customWidth="true" hidden="false" outlineLevel="0" max="28" min="28" style="10" width="12.43"/>
    <col collapsed="false" customWidth="true" hidden="false" outlineLevel="0" max="1017" min="29" style="0" width="8.53"/>
    <col collapsed="false" customWidth="true" hidden="false" outlineLevel="0" max="1025" min="1018" style="0" width="9.14"/>
  </cols>
  <sheetData>
    <row r="1" s="13" customFormat="true" ht="19.7" hidden="false" customHeight="false" outlineLevel="0" collapsed="false">
      <c r="A1" s="11" t="s">
        <v>524</v>
      </c>
      <c r="B1" s="11" t="s">
        <v>58</v>
      </c>
      <c r="C1" s="11"/>
      <c r="D1" s="11"/>
      <c r="E1" s="11"/>
      <c r="F1" s="11"/>
      <c r="G1" s="11"/>
      <c r="H1" s="11"/>
      <c r="I1" s="12" t="s">
        <v>59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60</v>
      </c>
      <c r="W1" s="11"/>
      <c r="X1" s="11"/>
      <c r="Y1" s="11"/>
      <c r="Z1" s="11"/>
      <c r="AA1" s="11"/>
      <c r="AB1" s="11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0" t="s">
        <v>404</v>
      </c>
      <c r="B2" s="8" t="n">
        <v>16.78596</v>
      </c>
      <c r="C2" s="9" t="n">
        <v>18.05648</v>
      </c>
      <c r="D2" s="9" t="n">
        <v>15.69936</v>
      </c>
      <c r="E2" s="9" t="n">
        <v>14.44074</v>
      </c>
      <c r="F2" s="9" t="n">
        <v>16.72014</v>
      </c>
      <c r="G2" s="9" t="n">
        <v>16.60659</v>
      </c>
      <c r="H2" s="10" t="n">
        <v>16.97074</v>
      </c>
      <c r="I2" s="0" t="n">
        <v>18.47524</v>
      </c>
      <c r="J2" s="0" t="n">
        <v>16.42244</v>
      </c>
      <c r="K2" s="0" t="n">
        <v>16.16857</v>
      </c>
      <c r="L2" s="0" t="n">
        <v>17.58701</v>
      </c>
      <c r="M2" s="0" t="n">
        <v>20.27185</v>
      </c>
      <c r="N2" s="0" t="n">
        <v>18.03676</v>
      </c>
      <c r="O2" s="0" t="n">
        <v>18.40736</v>
      </c>
      <c r="P2" s="0" t="n">
        <v>19.17959</v>
      </c>
      <c r="Q2" s="0" t="n">
        <v>17.28446</v>
      </c>
      <c r="R2" s="0" t="n">
        <v>18.10585</v>
      </c>
      <c r="S2" s="0" t="n">
        <v>17.806</v>
      </c>
      <c r="T2" s="0" t="n">
        <v>16.92021</v>
      </c>
      <c r="U2" s="0" t="n">
        <v>17.12485</v>
      </c>
      <c r="V2" s="8" t="n">
        <v>19.54764</v>
      </c>
      <c r="W2" s="9" t="n">
        <v>18.38545</v>
      </c>
      <c r="X2" s="9" t="n">
        <v>20.13884</v>
      </c>
      <c r="Y2" s="9" t="n">
        <v>19.62501</v>
      </c>
      <c r="Z2" s="9" t="n">
        <v>19.50798</v>
      </c>
      <c r="AA2" s="9" t="n">
        <v>18.38119</v>
      </c>
      <c r="AB2" s="10" t="n">
        <v>19.01258</v>
      </c>
    </row>
    <row r="3" customFormat="false" ht="13.8" hidden="false" customHeight="false" outlineLevel="0" collapsed="false">
      <c r="A3" s="0" t="s">
        <v>525</v>
      </c>
      <c r="B3" s="8" t="n">
        <v>16.24382</v>
      </c>
      <c r="C3" s="9" t="n">
        <v>17.14231</v>
      </c>
      <c r="D3" s="9" t="n">
        <v>15.76176</v>
      </c>
      <c r="E3" s="9" t="n">
        <v>17.30153</v>
      </c>
      <c r="F3" s="9" t="n">
        <v>17.00755</v>
      </c>
      <c r="G3" s="9" t="n">
        <v>17.28555</v>
      </c>
      <c r="H3" s="10" t="n">
        <v>16.3543</v>
      </c>
      <c r="I3" s="0" t="n">
        <v>16.70063</v>
      </c>
      <c r="J3" s="0" t="n">
        <v>15.83029</v>
      </c>
      <c r="K3" s="0" t="n">
        <v>18.2268</v>
      </c>
      <c r="L3" s="0" t="n">
        <v>17.75193</v>
      </c>
      <c r="M3" s="0" t="n">
        <v>18.32364</v>
      </c>
      <c r="N3" s="0" t="n">
        <v>16.63962</v>
      </c>
      <c r="O3" s="0" t="n">
        <v>16.56577</v>
      </c>
      <c r="P3" s="0" t="n">
        <v>17.25248</v>
      </c>
      <c r="Q3" s="0" t="n">
        <v>17.11085</v>
      </c>
      <c r="R3" s="0" t="n">
        <v>16.36035</v>
      </c>
      <c r="S3" s="0" t="n">
        <v>16.32214</v>
      </c>
      <c r="T3" s="0" t="n">
        <v>17.05494</v>
      </c>
      <c r="U3" s="0" t="n">
        <v>17.29634</v>
      </c>
      <c r="V3" s="8" t="n">
        <v>18.52573</v>
      </c>
      <c r="W3" s="9" t="n">
        <v>17.77069</v>
      </c>
      <c r="X3" s="9" t="n">
        <v>18.16074</v>
      </c>
      <c r="Y3" s="9" t="n">
        <v>18.12999</v>
      </c>
      <c r="Z3" s="9" t="n">
        <v>18.44107</v>
      </c>
      <c r="AA3" s="9" t="n">
        <v>17.22703</v>
      </c>
      <c r="AB3" s="10" t="n">
        <v>18.75418</v>
      </c>
    </row>
    <row r="4" customFormat="false" ht="13.8" hidden="false" customHeight="false" outlineLevel="0" collapsed="false">
      <c r="A4" s="0" t="s">
        <v>357</v>
      </c>
      <c r="B4" s="8" t="n">
        <v>16.02046</v>
      </c>
      <c r="C4" s="9" t="n">
        <v>15.7902</v>
      </c>
      <c r="D4" s="9" t="n">
        <v>17.31857</v>
      </c>
      <c r="E4" s="9" t="n">
        <v>15.55219</v>
      </c>
      <c r="F4" s="9" t="n">
        <v>16.12434</v>
      </c>
      <c r="G4" s="9" t="n">
        <v>15.9681</v>
      </c>
      <c r="H4" s="10" t="n">
        <v>15.68294</v>
      </c>
      <c r="I4" s="0" t="n">
        <v>15.90616</v>
      </c>
      <c r="J4" s="0" t="n">
        <v>16.61999</v>
      </c>
      <c r="K4" s="0" t="n">
        <v>16.52595</v>
      </c>
      <c r="L4" s="0" t="n">
        <v>17.14049</v>
      </c>
      <c r="M4" s="0" t="n">
        <v>15.90221</v>
      </c>
      <c r="N4" s="0" t="n">
        <v>15.48963</v>
      </c>
      <c r="O4" s="0" t="n">
        <v>16.82588</v>
      </c>
      <c r="P4" s="0" t="n">
        <v>16.2439</v>
      </c>
      <c r="Q4" s="0" t="n">
        <v>15.73026</v>
      </c>
      <c r="R4" s="0" t="n">
        <v>15.51859</v>
      </c>
      <c r="S4" s="0" t="n">
        <v>15.63138</v>
      </c>
      <c r="T4" s="0" t="n">
        <v>16.02215</v>
      </c>
      <c r="U4" s="0" t="n">
        <v>16.05219</v>
      </c>
      <c r="V4" s="8" t="n">
        <v>16.93041</v>
      </c>
      <c r="W4" s="9" t="n">
        <v>16.85404</v>
      </c>
      <c r="X4" s="9" t="n">
        <v>17.3617</v>
      </c>
      <c r="Y4" s="9" t="n">
        <v>17.03628</v>
      </c>
      <c r="Z4" s="9" t="n">
        <v>16.76046</v>
      </c>
      <c r="AA4" s="9" t="n">
        <v>16.6986</v>
      </c>
      <c r="AB4" s="10" t="n">
        <v>16.68099</v>
      </c>
    </row>
    <row r="5" customFormat="false" ht="13.8" hidden="false" customHeight="false" outlineLevel="0" collapsed="false">
      <c r="A5" s="0" t="s">
        <v>526</v>
      </c>
      <c r="B5" s="8" t="n">
        <v>20.96332</v>
      </c>
      <c r="C5" s="9" t="n">
        <v>20.67702</v>
      </c>
      <c r="D5" s="9" t="n">
        <v>20.54189</v>
      </c>
      <c r="E5" s="9" t="n">
        <v>20.74706</v>
      </c>
      <c r="F5" s="9" t="n">
        <v>21.04347</v>
      </c>
      <c r="G5" s="9" t="n">
        <v>21.29603</v>
      </c>
      <c r="H5" s="10" t="n">
        <v>20.57089</v>
      </c>
      <c r="I5" s="0" t="n">
        <v>21.89078</v>
      </c>
      <c r="J5" s="0" t="n">
        <v>21.34965</v>
      </c>
      <c r="K5" s="0" t="n">
        <v>21.53867</v>
      </c>
      <c r="L5" s="0" t="n">
        <v>21.20729</v>
      </c>
      <c r="M5" s="0" t="n">
        <v>20.77427</v>
      </c>
      <c r="N5" s="0" t="n">
        <v>22.25664</v>
      </c>
      <c r="O5" s="0" t="n">
        <v>20.42859</v>
      </c>
      <c r="P5" s="0" t="n">
        <v>20.6054</v>
      </c>
      <c r="Q5" s="0" t="n">
        <v>21.66514</v>
      </c>
      <c r="R5" s="0" t="n">
        <v>21.5609</v>
      </c>
      <c r="S5" s="0" t="n">
        <v>21.02715</v>
      </c>
      <c r="T5" s="0" t="n">
        <v>21.52061</v>
      </c>
      <c r="U5" s="0" t="n">
        <v>21.20108</v>
      </c>
      <c r="V5" s="8" t="n">
        <v>22.83148</v>
      </c>
      <c r="W5" s="9" t="n">
        <v>21.84487</v>
      </c>
      <c r="X5" s="9" t="n">
        <v>21.31529</v>
      </c>
      <c r="Y5" s="9" t="n">
        <v>21.30084</v>
      </c>
      <c r="Z5" s="9" t="n">
        <v>21.68496</v>
      </c>
      <c r="AA5" s="9" t="n">
        <v>21.60612</v>
      </c>
      <c r="AB5" s="10" t="n">
        <v>21.75666</v>
      </c>
    </row>
    <row r="6" customFormat="false" ht="13.8" hidden="false" customHeight="false" outlineLevel="0" collapsed="false">
      <c r="A6" s="0" t="s">
        <v>527</v>
      </c>
      <c r="B6" s="8" t="n">
        <v>22.98031</v>
      </c>
      <c r="C6" s="9" t="n">
        <v>21.90709</v>
      </c>
      <c r="D6" s="9" t="n">
        <v>24.07006</v>
      </c>
      <c r="E6" s="9" t="n">
        <v>23.03159</v>
      </c>
      <c r="F6" s="9" t="n">
        <v>23.10642</v>
      </c>
      <c r="G6" s="9" t="n">
        <v>22.70571</v>
      </c>
      <c r="H6" s="10" t="n">
        <v>23.16249</v>
      </c>
      <c r="I6" s="0" t="n">
        <v>22.8304</v>
      </c>
      <c r="J6" s="0" t="n">
        <v>22.5763</v>
      </c>
      <c r="K6" s="0" t="n">
        <v>21.65949</v>
      </c>
      <c r="L6" s="0" t="n">
        <v>19.82833</v>
      </c>
      <c r="M6" s="0" t="n">
        <v>19.97113</v>
      </c>
      <c r="N6" s="0" t="n">
        <v>22.89754</v>
      </c>
      <c r="O6" s="0" t="n">
        <v>23.34001</v>
      </c>
      <c r="P6" s="0" t="n">
        <v>22.03043</v>
      </c>
      <c r="Q6" s="0" t="n">
        <v>22.29972</v>
      </c>
      <c r="R6" s="0" t="n">
        <v>22.97661</v>
      </c>
      <c r="S6" s="0" t="n">
        <v>23.45864</v>
      </c>
      <c r="T6" s="0" t="n">
        <v>21.62489</v>
      </c>
      <c r="U6" s="0" t="n">
        <v>23.34692</v>
      </c>
      <c r="V6" s="8" t="n">
        <v>20.93524</v>
      </c>
      <c r="W6" s="9" t="n">
        <v>19.40811</v>
      </c>
      <c r="X6" s="9" t="n">
        <v>21.64042</v>
      </c>
      <c r="Y6" s="9" t="n">
        <v>21.53645</v>
      </c>
      <c r="Z6" s="9" t="n">
        <v>21.87335</v>
      </c>
      <c r="AA6" s="9" t="n">
        <v>20.96346</v>
      </c>
      <c r="AB6" s="10" t="n">
        <v>22.27807</v>
      </c>
    </row>
    <row r="7" customFormat="false" ht="13.8" hidden="false" customHeight="false" outlineLevel="0" collapsed="false">
      <c r="A7" s="0" t="s">
        <v>528</v>
      </c>
      <c r="B7" s="8" t="n">
        <v>17.94575</v>
      </c>
      <c r="C7" s="9" t="n">
        <v>18.26109</v>
      </c>
      <c r="D7" s="9" t="n">
        <v>16.21544</v>
      </c>
      <c r="E7" s="9" t="n">
        <v>19.31816</v>
      </c>
      <c r="F7" s="9" t="n">
        <v>18.04383</v>
      </c>
      <c r="G7" s="9" t="n">
        <v>18.61956</v>
      </c>
      <c r="H7" s="10" t="n">
        <v>17.18911</v>
      </c>
      <c r="I7" s="0" t="n">
        <v>18.18979</v>
      </c>
      <c r="J7" s="0" t="n">
        <v>18.69074</v>
      </c>
      <c r="K7" s="0" t="n">
        <v>18.8465</v>
      </c>
      <c r="L7" s="0" t="n">
        <v>16.09975</v>
      </c>
      <c r="M7" s="0" t="n">
        <v>17.44581</v>
      </c>
      <c r="N7" s="0" t="n">
        <v>18.84739</v>
      </c>
      <c r="O7" s="0" t="n">
        <v>14.16608</v>
      </c>
      <c r="P7" s="0" t="n">
        <v>18.36863</v>
      </c>
      <c r="Q7" s="0" t="n">
        <v>17.86961</v>
      </c>
      <c r="R7" s="0" t="n">
        <v>18.51991</v>
      </c>
      <c r="S7" s="0" t="n">
        <v>18.20003</v>
      </c>
      <c r="T7" s="0" t="n">
        <v>17.5939</v>
      </c>
      <c r="U7" s="0" t="n">
        <v>18.74067</v>
      </c>
      <c r="V7" s="8" t="n">
        <v>19.62776</v>
      </c>
      <c r="W7" s="9" t="n">
        <v>20.61477</v>
      </c>
      <c r="X7" s="9" t="n">
        <v>19.18171</v>
      </c>
      <c r="Y7" s="9" t="n">
        <v>19.13976</v>
      </c>
      <c r="Z7" s="9" t="n">
        <v>19.06745</v>
      </c>
      <c r="AA7" s="9" t="n">
        <v>19.46702</v>
      </c>
      <c r="AB7" s="10" t="n">
        <v>18.1849</v>
      </c>
    </row>
    <row r="8" customFormat="false" ht="13.8" hidden="false" customHeight="false" outlineLevel="0" collapsed="false">
      <c r="A8" s="0" t="s">
        <v>456</v>
      </c>
      <c r="B8" s="8" t="n">
        <v>16.21534</v>
      </c>
      <c r="C8" s="9" t="n">
        <v>16.30048</v>
      </c>
      <c r="D8" s="9" t="n">
        <v>15.61976</v>
      </c>
      <c r="E8" s="9" t="n">
        <v>16.16632</v>
      </c>
      <c r="F8" s="9" t="n">
        <v>17.03585</v>
      </c>
      <c r="G8" s="9" t="n">
        <v>16.39178</v>
      </c>
      <c r="H8" s="10" t="n">
        <v>15.98471</v>
      </c>
      <c r="I8" s="0" t="n">
        <v>16.69411</v>
      </c>
      <c r="J8" s="0" t="n">
        <v>16.23013</v>
      </c>
      <c r="K8" s="0" t="n">
        <v>15.44928</v>
      </c>
      <c r="L8" s="0" t="n">
        <v>16.50285</v>
      </c>
      <c r="M8" s="0" t="n">
        <v>15.37819</v>
      </c>
      <c r="N8" s="0" t="n">
        <v>17.1449</v>
      </c>
      <c r="O8" s="0" t="n">
        <v>19.25403</v>
      </c>
      <c r="P8" s="0" t="n">
        <v>16.11405</v>
      </c>
      <c r="Q8" s="0" t="n">
        <v>17.01574</v>
      </c>
      <c r="R8" s="0" t="n">
        <v>16.02393</v>
      </c>
      <c r="S8" s="0" t="n">
        <v>16.37154</v>
      </c>
      <c r="T8" s="0" t="n">
        <v>16.5501</v>
      </c>
      <c r="U8" s="0" t="n">
        <v>16.15853</v>
      </c>
      <c r="V8" s="8" t="n">
        <v>17.90006</v>
      </c>
      <c r="W8" s="9" t="n">
        <v>16.64118</v>
      </c>
      <c r="X8" s="9" t="n">
        <v>17.71773</v>
      </c>
      <c r="Y8" s="9" t="n">
        <v>17.4803</v>
      </c>
      <c r="Z8" s="9" t="n">
        <v>17.48093</v>
      </c>
      <c r="AA8" s="9" t="n">
        <v>17.06855</v>
      </c>
      <c r="AB8" s="10" t="n">
        <v>16.80663</v>
      </c>
    </row>
    <row r="9" customFormat="false" ht="13.8" hidden="false" customHeight="false" outlineLevel="0" collapsed="false">
      <c r="A9" s="0" t="s">
        <v>529</v>
      </c>
      <c r="B9" s="8" t="n">
        <v>23.58532</v>
      </c>
      <c r="C9" s="9" t="n">
        <v>23.53362</v>
      </c>
      <c r="D9" s="9" t="n">
        <v>23.59651</v>
      </c>
      <c r="E9" s="9" t="n">
        <v>23.84221</v>
      </c>
      <c r="F9" s="9" t="n">
        <v>23.31645</v>
      </c>
      <c r="G9" s="9" t="n">
        <v>22.49644</v>
      </c>
      <c r="H9" s="10" t="n">
        <v>23.87549</v>
      </c>
      <c r="I9" s="0" t="n">
        <v>23.47172</v>
      </c>
      <c r="J9" s="0" t="n">
        <v>23.56221</v>
      </c>
      <c r="K9" s="0" t="n">
        <v>24.53996</v>
      </c>
      <c r="L9" s="0" t="n">
        <v>23.6319</v>
      </c>
      <c r="M9" s="0" t="n">
        <v>24.33525</v>
      </c>
      <c r="N9" s="0" t="n">
        <v>22.97085</v>
      </c>
      <c r="O9" s="0" t="n">
        <v>22.08725</v>
      </c>
      <c r="P9" s="0" t="n">
        <v>23.92678</v>
      </c>
      <c r="Q9" s="0" t="n">
        <v>23.96023</v>
      </c>
      <c r="R9" s="0" t="n">
        <v>22.65456</v>
      </c>
      <c r="S9" s="0" t="n">
        <v>23.7965</v>
      </c>
      <c r="T9" s="0" t="n">
        <v>24.20195</v>
      </c>
      <c r="U9" s="0" t="n">
        <v>23.77113</v>
      </c>
      <c r="V9" s="8" t="n">
        <v>25.8235</v>
      </c>
      <c r="W9" s="9" t="n">
        <v>25.93373</v>
      </c>
      <c r="X9" s="9" t="n">
        <v>23.73624</v>
      </c>
      <c r="Y9" s="9" t="n">
        <v>23.6659</v>
      </c>
      <c r="Z9" s="9" t="n">
        <v>24.2292</v>
      </c>
      <c r="AA9" s="9" t="n">
        <v>23.70588</v>
      </c>
      <c r="AB9" s="10" t="n">
        <v>23.50628</v>
      </c>
    </row>
    <row r="10" customFormat="false" ht="13.8" hidden="false" customHeight="false" outlineLevel="0" collapsed="false">
      <c r="A10" s="0" t="s">
        <v>530</v>
      </c>
      <c r="B10" s="8" t="n">
        <v>15.77471</v>
      </c>
      <c r="C10" s="9" t="n">
        <v>14.68699</v>
      </c>
      <c r="D10" s="9" t="n">
        <v>15.43785</v>
      </c>
      <c r="E10" s="9" t="n">
        <v>14.89562</v>
      </c>
      <c r="F10" s="9" t="n">
        <v>15.32892</v>
      </c>
      <c r="G10" s="9" t="n">
        <v>15.54104</v>
      </c>
      <c r="H10" s="10" t="n">
        <v>15.24659</v>
      </c>
      <c r="I10" s="0" t="n">
        <v>15.5487</v>
      </c>
      <c r="J10" s="0" t="n">
        <v>16.31916</v>
      </c>
      <c r="K10" s="0" t="n">
        <v>15.79454</v>
      </c>
      <c r="L10" s="0" t="n">
        <v>17.39801</v>
      </c>
      <c r="M10" s="0" t="n">
        <v>15.08771</v>
      </c>
      <c r="N10" s="0" t="n">
        <v>14.73524</v>
      </c>
      <c r="O10" s="0" t="n">
        <v>17.84733</v>
      </c>
      <c r="P10" s="0" t="n">
        <v>15.50696</v>
      </c>
      <c r="Q10" s="0" t="n">
        <v>15.46001</v>
      </c>
      <c r="R10" s="0" t="n">
        <v>15.38435</v>
      </c>
      <c r="S10" s="0" t="n">
        <v>15.73349</v>
      </c>
      <c r="T10" s="0" t="n">
        <v>15.60073</v>
      </c>
      <c r="U10" s="0" t="n">
        <v>15.82215</v>
      </c>
      <c r="V10" s="8" t="n">
        <v>15.03381</v>
      </c>
      <c r="W10" s="9" t="n">
        <v>15.58317</v>
      </c>
      <c r="X10" s="9" t="n">
        <v>15.3093</v>
      </c>
      <c r="Y10" s="9" t="n">
        <v>14.44657</v>
      </c>
      <c r="Z10" s="9" t="n">
        <v>13.99418</v>
      </c>
      <c r="AA10" s="9" t="n">
        <v>15.28435</v>
      </c>
      <c r="AB10" s="10" t="n">
        <v>14.44443</v>
      </c>
    </row>
    <row r="11" customFormat="false" ht="13.8" hidden="false" customHeight="false" outlineLevel="0" collapsed="false">
      <c r="A11" s="0" t="s">
        <v>365</v>
      </c>
      <c r="B11" s="8" t="n">
        <v>18.05944</v>
      </c>
      <c r="C11" s="9" t="n">
        <v>18.7291</v>
      </c>
      <c r="D11" s="9" t="n">
        <v>17.40116</v>
      </c>
      <c r="E11" s="9" t="n">
        <v>17.94318</v>
      </c>
      <c r="F11" s="9" t="n">
        <v>18.60675</v>
      </c>
      <c r="G11" s="9" t="n">
        <v>17.94392</v>
      </c>
      <c r="H11" s="10" t="n">
        <v>18.93163</v>
      </c>
      <c r="I11" s="0" t="n">
        <v>19.06361</v>
      </c>
      <c r="J11" s="0" t="n">
        <v>17.90906</v>
      </c>
      <c r="K11" s="0" t="n">
        <v>19.59685</v>
      </c>
      <c r="L11" s="0" t="n">
        <v>16.78227</v>
      </c>
      <c r="M11" s="0" t="n">
        <v>19.86814</v>
      </c>
      <c r="N11" s="0" t="n">
        <v>19.28281</v>
      </c>
      <c r="O11" s="0" t="n">
        <v>18.8593</v>
      </c>
      <c r="P11" s="0" t="n">
        <v>19.58127</v>
      </c>
      <c r="Q11" s="0" t="n">
        <v>19.39412</v>
      </c>
      <c r="R11" s="0" t="n">
        <v>18.9598</v>
      </c>
      <c r="S11" s="0" t="n">
        <v>19.26075</v>
      </c>
      <c r="T11" s="0" t="n">
        <v>18.98624</v>
      </c>
      <c r="U11" s="0" t="n">
        <v>18.86097</v>
      </c>
      <c r="V11" s="8" t="n">
        <v>19.94692</v>
      </c>
      <c r="W11" s="9" t="n">
        <v>19.32518</v>
      </c>
      <c r="X11" s="9" t="n">
        <v>19.11589</v>
      </c>
      <c r="Y11" s="9" t="n">
        <v>19.17616</v>
      </c>
      <c r="Z11" s="9" t="n">
        <v>19.15889</v>
      </c>
      <c r="AA11" s="9" t="n">
        <v>18.48625</v>
      </c>
      <c r="AB11" s="10" t="n">
        <v>19.39475</v>
      </c>
    </row>
    <row r="12" customFormat="false" ht="13.8" hidden="false" customHeight="false" outlineLevel="0" collapsed="false">
      <c r="A12" s="0" t="s">
        <v>531</v>
      </c>
      <c r="B12" s="8" t="n">
        <v>23.89097</v>
      </c>
      <c r="C12" s="9" t="n">
        <v>23.85785</v>
      </c>
      <c r="D12" s="9" t="n">
        <v>23.6826</v>
      </c>
      <c r="E12" s="9" t="n">
        <v>24.42137</v>
      </c>
      <c r="F12" s="9" t="n">
        <v>23.84479</v>
      </c>
      <c r="G12" s="9" t="n">
        <v>24.52486</v>
      </c>
      <c r="H12" s="10" t="n">
        <v>23.16967</v>
      </c>
      <c r="I12" s="0" t="n">
        <v>24.16576</v>
      </c>
      <c r="J12" s="0" t="n">
        <v>24.37716</v>
      </c>
      <c r="K12" s="0" t="n">
        <v>24.56587</v>
      </c>
      <c r="L12" s="0" t="n">
        <v>24.21045</v>
      </c>
      <c r="M12" s="0" t="n">
        <v>23.38232</v>
      </c>
      <c r="N12" s="0" t="n">
        <v>24.58898</v>
      </c>
      <c r="O12" s="0" t="n">
        <v>22.08686</v>
      </c>
      <c r="P12" s="0" t="n">
        <v>23.11775</v>
      </c>
      <c r="Q12" s="0" t="n">
        <v>23.32937</v>
      </c>
      <c r="R12" s="0" t="n">
        <v>24.00779</v>
      </c>
      <c r="S12" s="0" t="n">
        <v>24.02775</v>
      </c>
      <c r="T12" s="0" t="n">
        <v>23.76517</v>
      </c>
      <c r="U12" s="0" t="n">
        <v>23.69869</v>
      </c>
      <c r="V12" s="8" t="n">
        <v>25.17798</v>
      </c>
      <c r="W12" s="9" t="n">
        <v>25.41806</v>
      </c>
      <c r="X12" s="9" t="n">
        <v>24.16928</v>
      </c>
      <c r="Y12" s="9" t="n">
        <v>23.9771</v>
      </c>
      <c r="Z12" s="9" t="n">
        <v>24.55104</v>
      </c>
      <c r="AA12" s="9" t="n">
        <v>24.27327</v>
      </c>
      <c r="AB12" s="10" t="n">
        <v>24.03078</v>
      </c>
    </row>
    <row r="13" customFormat="false" ht="13.8" hidden="false" customHeight="false" outlineLevel="0" collapsed="false">
      <c r="A13" s="0" t="s">
        <v>532</v>
      </c>
      <c r="B13" s="8" t="n">
        <v>24.96596</v>
      </c>
      <c r="C13" s="9" t="n">
        <v>24.09901</v>
      </c>
      <c r="D13" s="9" t="n">
        <v>24.81924</v>
      </c>
      <c r="E13" s="9" t="n">
        <v>24.01657</v>
      </c>
      <c r="F13" s="9" t="n">
        <v>24.51653</v>
      </c>
      <c r="G13" s="9" t="n">
        <v>24.61116</v>
      </c>
      <c r="H13" s="10" t="n">
        <v>24.2832</v>
      </c>
      <c r="I13" s="0" t="n">
        <v>24.3041</v>
      </c>
      <c r="J13" s="0" t="n">
        <v>24.93233</v>
      </c>
      <c r="K13" s="0" t="n">
        <v>24.19551</v>
      </c>
      <c r="L13" s="0" t="n">
        <v>24.56877</v>
      </c>
      <c r="M13" s="0" t="n">
        <v>24.19302</v>
      </c>
      <c r="N13" s="0" t="n">
        <v>24.11854</v>
      </c>
      <c r="O13" s="0" t="n">
        <v>25.18854</v>
      </c>
      <c r="P13" s="0" t="n">
        <v>24.19528</v>
      </c>
      <c r="Q13" s="0" t="n">
        <v>23.91296</v>
      </c>
      <c r="R13" s="0" t="n">
        <v>24.25335</v>
      </c>
      <c r="S13" s="0" t="n">
        <v>24.36713</v>
      </c>
      <c r="T13" s="0" t="n">
        <v>24.21756</v>
      </c>
      <c r="U13" s="0" t="n">
        <v>24.19272</v>
      </c>
      <c r="V13" s="8" t="n">
        <v>23.76871</v>
      </c>
      <c r="W13" s="9" t="n">
        <v>24.34449</v>
      </c>
      <c r="X13" s="9" t="n">
        <v>24.08221</v>
      </c>
      <c r="Y13" s="9" t="n">
        <v>24.13156</v>
      </c>
      <c r="Z13" s="9" t="n">
        <v>23.34597</v>
      </c>
      <c r="AA13" s="9" t="n">
        <v>24.21334</v>
      </c>
      <c r="AB13" s="10" t="n">
        <v>23.49558</v>
      </c>
    </row>
    <row r="14" customFormat="false" ht="13.8" hidden="false" customHeight="false" outlineLevel="0" collapsed="false">
      <c r="A14" s="0" t="s">
        <v>378</v>
      </c>
      <c r="B14" s="8" t="n">
        <v>17.76578</v>
      </c>
      <c r="C14" s="9" t="n">
        <v>18.45004</v>
      </c>
      <c r="D14" s="9" t="n">
        <v>18.42521</v>
      </c>
      <c r="E14" s="9" t="n">
        <v>18.06287</v>
      </c>
      <c r="F14" s="9" t="n">
        <v>18.06055</v>
      </c>
      <c r="G14" s="9" t="n">
        <v>18.37954</v>
      </c>
      <c r="H14" s="10" t="n">
        <v>18.24776</v>
      </c>
      <c r="I14" s="0" t="n">
        <v>18.98198</v>
      </c>
      <c r="J14" s="0" t="n">
        <v>17.87316</v>
      </c>
      <c r="K14" s="0" t="n">
        <v>17.11452</v>
      </c>
      <c r="L14" s="0" t="n">
        <v>16.39942</v>
      </c>
      <c r="M14" s="0" t="n">
        <v>17.66588</v>
      </c>
      <c r="N14" s="0" t="n">
        <v>18.30474</v>
      </c>
      <c r="O14" s="0" t="n">
        <v>16.41277</v>
      </c>
      <c r="P14" s="0" t="n">
        <v>17.87117</v>
      </c>
      <c r="Q14" s="0" t="n">
        <v>18.5126</v>
      </c>
      <c r="R14" s="0" t="n">
        <v>18.78449</v>
      </c>
      <c r="S14" s="0" t="n">
        <v>18.58226</v>
      </c>
      <c r="T14" s="0" t="n">
        <v>18.132</v>
      </c>
      <c r="U14" s="0" t="n">
        <v>18.49451</v>
      </c>
      <c r="V14" s="8" t="n">
        <v>19.50219</v>
      </c>
      <c r="W14" s="9" t="n">
        <v>18.09151</v>
      </c>
      <c r="X14" s="9" t="n">
        <v>18.6131</v>
      </c>
      <c r="Y14" s="9" t="n">
        <v>18.845</v>
      </c>
      <c r="Z14" s="9" t="n">
        <v>19.01838</v>
      </c>
      <c r="AA14" s="9" t="n">
        <v>18.54359</v>
      </c>
      <c r="AB14" s="10" t="n">
        <v>19.36072</v>
      </c>
    </row>
    <row r="15" customFormat="false" ht="13.8" hidden="false" customHeight="false" outlineLevel="0" collapsed="false">
      <c r="A15" s="0" t="s">
        <v>533</v>
      </c>
      <c r="B15" s="8" t="n">
        <v>21.24383</v>
      </c>
      <c r="C15" s="9" t="n">
        <v>21.89538</v>
      </c>
      <c r="D15" s="9" t="n">
        <v>21.94575</v>
      </c>
      <c r="E15" s="9" t="n">
        <v>22.34889</v>
      </c>
      <c r="F15" s="9" t="n">
        <v>21.82881</v>
      </c>
      <c r="G15" s="9" t="n">
        <v>22.31915</v>
      </c>
      <c r="H15" s="10" t="n">
        <v>21.06151</v>
      </c>
      <c r="I15" s="0" t="n">
        <v>21.70455</v>
      </c>
      <c r="J15" s="0" t="n">
        <v>21.46628</v>
      </c>
      <c r="K15" s="0" t="n">
        <v>21.1925</v>
      </c>
      <c r="L15" s="0" t="n">
        <v>21.20812</v>
      </c>
      <c r="M15" s="0" t="n">
        <v>19.46579</v>
      </c>
      <c r="N15" s="0" t="n">
        <v>22.1006</v>
      </c>
      <c r="O15" s="0" t="n">
        <v>20.60277</v>
      </c>
      <c r="P15" s="0" t="n">
        <v>20.1784</v>
      </c>
      <c r="Q15" s="0" t="n">
        <v>21.29603</v>
      </c>
      <c r="R15" s="0" t="n">
        <v>21.57579</v>
      </c>
      <c r="S15" s="0" t="n">
        <v>21.92994</v>
      </c>
      <c r="T15" s="0" t="n">
        <v>21.41529</v>
      </c>
      <c r="U15" s="0" t="n">
        <v>21.88963</v>
      </c>
      <c r="V15" s="8" t="n">
        <v>22.37579</v>
      </c>
      <c r="W15" s="9" t="n">
        <v>22.97463</v>
      </c>
      <c r="X15" s="9" t="n">
        <v>21.52032</v>
      </c>
      <c r="Y15" s="9" t="n">
        <v>21.81026</v>
      </c>
      <c r="Z15" s="9" t="n">
        <v>21.46309</v>
      </c>
      <c r="AA15" s="9" t="n">
        <v>21.65958</v>
      </c>
      <c r="AB15" s="10" t="n">
        <v>21.79812</v>
      </c>
    </row>
    <row r="16" customFormat="false" ht="13.8" hidden="false" customHeight="false" outlineLevel="0" collapsed="false">
      <c r="A16" s="0" t="s">
        <v>534</v>
      </c>
      <c r="B16" s="8" t="n">
        <v>21.05762</v>
      </c>
      <c r="C16" s="9" t="n">
        <v>21.19298</v>
      </c>
      <c r="D16" s="9" t="n">
        <v>19.83189</v>
      </c>
      <c r="E16" s="9" t="n">
        <v>20.48837</v>
      </c>
      <c r="F16" s="9" t="n">
        <v>20.95858</v>
      </c>
      <c r="G16" s="9" t="n">
        <v>21.10412</v>
      </c>
      <c r="H16" s="10" t="n">
        <v>20.57228</v>
      </c>
      <c r="I16" s="0" t="n">
        <v>21.41209</v>
      </c>
      <c r="J16" s="0" t="n">
        <v>21.53692</v>
      </c>
      <c r="K16" s="0" t="n">
        <v>21.85559</v>
      </c>
      <c r="L16" s="0" t="n">
        <v>20.17402</v>
      </c>
      <c r="M16" s="0" t="n">
        <v>20.80884</v>
      </c>
      <c r="N16" s="0" t="n">
        <v>21.69829</v>
      </c>
      <c r="O16" s="0" t="n">
        <v>21.92143</v>
      </c>
      <c r="P16" s="0" t="n">
        <v>20.89933</v>
      </c>
      <c r="Q16" s="0" t="n">
        <v>20.44789</v>
      </c>
      <c r="R16" s="0" t="n">
        <v>21.92133</v>
      </c>
      <c r="S16" s="0" t="n">
        <v>21.48601</v>
      </c>
      <c r="T16" s="0" t="n">
        <v>20.98001</v>
      </c>
      <c r="U16" s="0" t="n">
        <v>21.70443</v>
      </c>
      <c r="V16" s="8" t="n">
        <v>21.04046</v>
      </c>
      <c r="W16" s="9" t="n">
        <v>21.86007</v>
      </c>
      <c r="X16" s="9" t="n">
        <v>21.26023</v>
      </c>
      <c r="Y16" s="9" t="n">
        <v>21.47556</v>
      </c>
      <c r="Z16" s="9" t="n">
        <v>20.82951</v>
      </c>
      <c r="AA16" s="9" t="n">
        <v>21.61279</v>
      </c>
      <c r="AB16" s="10" t="n">
        <v>21.95397</v>
      </c>
    </row>
    <row r="17" customFormat="false" ht="13.8" hidden="false" customHeight="false" outlineLevel="0" collapsed="false">
      <c r="A17" s="0" t="s">
        <v>126</v>
      </c>
      <c r="B17" s="8" t="n">
        <v>16.70523</v>
      </c>
      <c r="C17" s="9" t="n">
        <v>16.24299</v>
      </c>
      <c r="D17" s="9" t="n">
        <v>16.76552</v>
      </c>
      <c r="E17" s="9" t="n">
        <v>17.33429</v>
      </c>
      <c r="F17" s="9" t="n">
        <v>16.88178</v>
      </c>
      <c r="G17" s="9" t="n">
        <v>17.82196</v>
      </c>
      <c r="H17" s="10" t="n">
        <v>19.60695</v>
      </c>
      <c r="I17" s="0" t="n">
        <v>15.73566</v>
      </c>
      <c r="J17" s="0" t="n">
        <v>17.1434</v>
      </c>
      <c r="K17" s="0" t="n">
        <v>17.66317</v>
      </c>
      <c r="L17" s="0" t="n">
        <v>16.83415</v>
      </c>
      <c r="M17" s="0" t="n">
        <v>19.6268</v>
      </c>
      <c r="N17" s="0" t="n">
        <v>15.88855</v>
      </c>
      <c r="O17" s="0" t="n">
        <v>16.90759</v>
      </c>
      <c r="P17" s="0" t="n">
        <v>19.55056</v>
      </c>
      <c r="Q17" s="0" t="n">
        <v>16.69561</v>
      </c>
      <c r="R17" s="0" t="n">
        <v>13.50542</v>
      </c>
      <c r="S17" s="0" t="n">
        <v>15.68606</v>
      </c>
      <c r="T17" s="0" t="n">
        <v>16.28962</v>
      </c>
      <c r="U17" s="0" t="n">
        <v>16.15644</v>
      </c>
      <c r="V17" s="8" t="n">
        <v>14.86873</v>
      </c>
      <c r="W17" s="9" t="n">
        <v>15.83061</v>
      </c>
      <c r="X17" s="9" t="n">
        <v>16.23244</v>
      </c>
      <c r="Y17" s="9" t="n">
        <v>16.10617</v>
      </c>
      <c r="Z17" s="9" t="n">
        <v>13.92333</v>
      </c>
      <c r="AA17" s="9" t="n">
        <v>16.10607</v>
      </c>
      <c r="AB17" s="10" t="n">
        <v>14.54472</v>
      </c>
    </row>
    <row r="18" customFormat="false" ht="13.8" hidden="false" customHeight="false" outlineLevel="0" collapsed="false">
      <c r="A18" s="0" t="s">
        <v>373</v>
      </c>
      <c r="B18" s="8" t="n">
        <v>20.59732</v>
      </c>
      <c r="C18" s="9" t="n">
        <v>20.80806</v>
      </c>
      <c r="D18" s="9" t="n">
        <v>21.12723</v>
      </c>
      <c r="E18" s="9" t="n">
        <v>20.82734</v>
      </c>
      <c r="F18" s="9" t="n">
        <v>20.50475</v>
      </c>
      <c r="G18" s="9" t="n">
        <v>21.24806</v>
      </c>
      <c r="H18" s="10" t="n">
        <v>20.79463</v>
      </c>
      <c r="I18" s="0" t="n">
        <v>20.48738</v>
      </c>
      <c r="J18" s="0" t="n">
        <v>20.82734</v>
      </c>
      <c r="K18" s="0" t="n">
        <v>20.18544</v>
      </c>
      <c r="L18" s="0" t="n">
        <v>19.13263</v>
      </c>
      <c r="M18" s="0" t="n">
        <v>20.22235</v>
      </c>
      <c r="N18" s="0" t="n">
        <v>19.27449</v>
      </c>
      <c r="O18" s="0" t="n">
        <v>21.22317</v>
      </c>
      <c r="P18" s="0" t="n">
        <v>20.81964</v>
      </c>
      <c r="Q18" s="0" t="n">
        <v>19.73089</v>
      </c>
      <c r="R18" s="0" t="n">
        <v>21.36303</v>
      </c>
      <c r="S18" s="0" t="n">
        <v>20.35917</v>
      </c>
      <c r="T18" s="0" t="n">
        <v>19.61481</v>
      </c>
      <c r="U18" s="0" t="n">
        <v>19.97533</v>
      </c>
      <c r="V18" s="8" t="n">
        <v>21.0547</v>
      </c>
      <c r="W18" s="9" t="n">
        <v>19.64688</v>
      </c>
      <c r="X18" s="9" t="n">
        <v>21.10463</v>
      </c>
      <c r="Y18" s="9" t="n">
        <v>20.54217</v>
      </c>
      <c r="Z18" s="9" t="n">
        <v>20.50611</v>
      </c>
      <c r="AA18" s="9" t="n">
        <v>21.02763</v>
      </c>
      <c r="AB18" s="10" t="n">
        <v>18.90448</v>
      </c>
    </row>
    <row r="19" customFormat="false" ht="13.8" hidden="false" customHeight="false" outlineLevel="0" collapsed="false">
      <c r="A19" s="0" t="s">
        <v>535</v>
      </c>
      <c r="B19" s="8" t="n">
        <v>20.1893</v>
      </c>
      <c r="C19" s="9" t="n">
        <v>21.1031</v>
      </c>
      <c r="D19" s="9" t="n">
        <v>22.07988</v>
      </c>
      <c r="E19" s="9" t="n">
        <v>20.16103</v>
      </c>
      <c r="F19" s="9" t="n">
        <v>20.12578</v>
      </c>
      <c r="G19" s="9" t="n">
        <v>20.8762</v>
      </c>
      <c r="H19" s="10" t="n">
        <v>20.2948</v>
      </c>
      <c r="I19" s="0" t="n">
        <v>20.96902</v>
      </c>
      <c r="J19" s="0" t="n">
        <v>21.16956</v>
      </c>
      <c r="K19" s="0" t="n">
        <v>21.28726</v>
      </c>
      <c r="L19" s="0" t="n">
        <v>20.71331</v>
      </c>
      <c r="M19" s="0" t="n">
        <v>20.98565</v>
      </c>
      <c r="N19" s="0" t="n">
        <v>20.89711</v>
      </c>
      <c r="O19" s="0" t="n">
        <v>22.28876</v>
      </c>
      <c r="P19" s="0" t="n">
        <v>21.11667</v>
      </c>
      <c r="Q19" s="0" t="n">
        <v>20.3705</v>
      </c>
      <c r="R19" s="0" t="n">
        <v>20.73793</v>
      </c>
      <c r="S19" s="0" t="n">
        <v>21.11642</v>
      </c>
      <c r="T19" s="0" t="n">
        <v>20.67805</v>
      </c>
      <c r="U19" s="0" t="n">
        <v>20.63848</v>
      </c>
      <c r="V19" s="8" t="n">
        <v>21.66371</v>
      </c>
      <c r="W19" s="9" t="n">
        <v>20.97456</v>
      </c>
      <c r="X19" s="9" t="n">
        <v>21.29855</v>
      </c>
      <c r="Y19" s="9" t="n">
        <v>21.32036</v>
      </c>
      <c r="Z19" s="9" t="n">
        <v>21.40145</v>
      </c>
      <c r="AA19" s="9" t="n">
        <v>21.31761</v>
      </c>
      <c r="AB19" s="10" t="n">
        <v>21.23199</v>
      </c>
    </row>
    <row r="20" customFormat="false" ht="13.8" hidden="false" customHeight="false" outlineLevel="0" collapsed="false">
      <c r="A20" s="0" t="s">
        <v>298</v>
      </c>
      <c r="B20" s="8" t="n">
        <v>21.75764</v>
      </c>
      <c r="C20" s="9" t="n">
        <v>22.406</v>
      </c>
      <c r="D20" s="9" t="n">
        <v>21.92278</v>
      </c>
      <c r="E20" s="9" t="n">
        <v>21.73913</v>
      </c>
      <c r="F20" s="9" t="n">
        <v>22.52306</v>
      </c>
      <c r="G20" s="9" t="n">
        <v>22.28915</v>
      </c>
      <c r="H20" s="10" t="n">
        <v>22.39223</v>
      </c>
      <c r="I20" s="0" t="n">
        <v>22.17664</v>
      </c>
      <c r="J20" s="0" t="n">
        <v>21.52664</v>
      </c>
      <c r="K20" s="0" t="n">
        <v>20.84</v>
      </c>
      <c r="L20" s="0" t="n">
        <v>20.33865</v>
      </c>
      <c r="M20" s="0" t="n">
        <v>20.61414</v>
      </c>
      <c r="N20" s="0" t="n">
        <v>22.05321</v>
      </c>
      <c r="O20" s="0" t="n">
        <v>21.0476</v>
      </c>
      <c r="P20" s="0" t="n">
        <v>21.95784</v>
      </c>
      <c r="Q20" s="0" t="n">
        <v>23.01447</v>
      </c>
      <c r="R20" s="0" t="n">
        <v>22.43525</v>
      </c>
      <c r="S20" s="0" t="n">
        <v>22.25298</v>
      </c>
      <c r="T20" s="0" t="n">
        <v>22.66442</v>
      </c>
      <c r="U20" s="0" t="n">
        <v>21.89341</v>
      </c>
      <c r="V20" s="8" t="n">
        <v>23.24644</v>
      </c>
      <c r="W20" s="9" t="n">
        <v>22.15814</v>
      </c>
      <c r="X20" s="9" t="n">
        <v>22.11006</v>
      </c>
      <c r="Y20" s="9" t="n">
        <v>22.40671</v>
      </c>
      <c r="Z20" s="9" t="n">
        <v>23.16759</v>
      </c>
      <c r="AA20" s="9" t="n">
        <v>21.79812</v>
      </c>
      <c r="AB20" s="10" t="n">
        <v>22.96739</v>
      </c>
    </row>
    <row r="21" customFormat="false" ht="13.8" hidden="false" customHeight="false" outlineLevel="0" collapsed="false">
      <c r="A21" s="0" t="s">
        <v>396</v>
      </c>
      <c r="B21" s="8" t="n">
        <v>21.97197</v>
      </c>
      <c r="C21" s="9" t="n">
        <v>22.17329</v>
      </c>
      <c r="D21" s="9" t="n">
        <v>22.40901</v>
      </c>
      <c r="E21" s="9" t="n">
        <v>22.33451</v>
      </c>
      <c r="F21" s="9" t="n">
        <v>22.5644</v>
      </c>
      <c r="G21" s="9" t="n">
        <v>22.62723</v>
      </c>
      <c r="H21" s="10" t="n">
        <v>22.15755</v>
      </c>
      <c r="I21" s="0" t="n">
        <v>21.64522</v>
      </c>
      <c r="J21" s="0" t="n">
        <v>22.24818</v>
      </c>
      <c r="K21" s="0" t="n">
        <v>22.93837</v>
      </c>
      <c r="L21" s="0" t="n">
        <v>21.90665</v>
      </c>
      <c r="M21" s="0" t="n">
        <v>22.64926</v>
      </c>
      <c r="N21" s="0" t="n">
        <v>22.10409</v>
      </c>
      <c r="O21" s="0" t="n">
        <v>22.1283</v>
      </c>
      <c r="P21" s="0" t="n">
        <v>22.48358</v>
      </c>
      <c r="Q21" s="0" t="n">
        <v>21.96258</v>
      </c>
      <c r="R21" s="0" t="n">
        <v>22.17539</v>
      </c>
      <c r="S21" s="0" t="n">
        <v>22.05086</v>
      </c>
      <c r="T21" s="0" t="n">
        <v>22.29541</v>
      </c>
      <c r="U21" s="0" t="n">
        <v>22.22682</v>
      </c>
      <c r="V21" s="8" t="n">
        <v>22.4938</v>
      </c>
      <c r="W21" s="9" t="n">
        <v>22.51396</v>
      </c>
      <c r="X21" s="9" t="n">
        <v>22.37162</v>
      </c>
      <c r="Y21" s="9" t="n">
        <v>22.48134</v>
      </c>
      <c r="Z21" s="9" t="n">
        <v>22.5106</v>
      </c>
      <c r="AA21" s="9" t="n">
        <v>22.70841</v>
      </c>
      <c r="AB21" s="10" t="n">
        <v>22.64889</v>
      </c>
    </row>
    <row r="22" customFormat="false" ht="13.8" hidden="false" customHeight="false" outlineLevel="0" collapsed="false">
      <c r="A22" s="0" t="s">
        <v>187</v>
      </c>
      <c r="B22" s="8" t="n">
        <v>18.71482</v>
      </c>
      <c r="C22" s="9" t="n">
        <v>18.62325</v>
      </c>
      <c r="D22" s="9" t="n">
        <v>20.45503</v>
      </c>
      <c r="E22" s="9" t="n">
        <v>18.82258</v>
      </c>
      <c r="F22" s="9" t="n">
        <v>18.92164</v>
      </c>
      <c r="G22" s="9" t="n">
        <v>19.92687</v>
      </c>
      <c r="H22" s="10" t="n">
        <v>18.66518</v>
      </c>
      <c r="I22" s="0" t="n">
        <v>19.01789</v>
      </c>
      <c r="J22" s="0" t="n">
        <v>21.06986</v>
      </c>
      <c r="K22" s="0" t="n">
        <v>19.72066</v>
      </c>
      <c r="L22" s="0" t="n">
        <v>18.51368</v>
      </c>
      <c r="M22" s="0" t="n">
        <v>18.14818</v>
      </c>
      <c r="N22" s="0" t="n">
        <v>19.94678</v>
      </c>
      <c r="O22" s="0" t="n">
        <v>19.09244</v>
      </c>
      <c r="P22" s="0" t="n">
        <v>18.1335</v>
      </c>
      <c r="Q22" s="0" t="n">
        <v>19.05632</v>
      </c>
      <c r="R22" s="0" t="n">
        <v>18.76636</v>
      </c>
      <c r="S22" s="0" t="n">
        <v>19.80958</v>
      </c>
      <c r="T22" s="0" t="n">
        <v>19.13611</v>
      </c>
      <c r="U22" s="0" t="n">
        <v>19.81774</v>
      </c>
      <c r="V22" s="8" t="n">
        <v>20.2105</v>
      </c>
      <c r="W22" s="9" t="n">
        <v>18.67097</v>
      </c>
      <c r="X22" s="9" t="n">
        <v>20.26671</v>
      </c>
      <c r="Y22" s="9" t="n">
        <v>20.35434</v>
      </c>
      <c r="Z22" s="9" t="n">
        <v>20.16582</v>
      </c>
      <c r="AA22" s="9" t="n">
        <v>20.26408</v>
      </c>
      <c r="AB22" s="10" t="n">
        <v>18.9611</v>
      </c>
    </row>
    <row r="23" customFormat="false" ht="13.8" hidden="false" customHeight="false" outlineLevel="0" collapsed="false">
      <c r="A23" s="0" t="s">
        <v>536</v>
      </c>
      <c r="B23" s="8" t="n">
        <v>23.4051</v>
      </c>
      <c r="C23" s="9" t="n">
        <v>23.71712</v>
      </c>
      <c r="D23" s="9" t="n">
        <v>23.93256</v>
      </c>
      <c r="E23" s="9" t="n">
        <v>23.21614</v>
      </c>
      <c r="F23" s="9" t="n">
        <v>23.63123</v>
      </c>
      <c r="G23" s="9" t="n">
        <v>23.49777</v>
      </c>
      <c r="H23" s="10" t="n">
        <v>23.23631</v>
      </c>
      <c r="I23" s="0" t="n">
        <v>24.27789</v>
      </c>
      <c r="J23" s="0" t="n">
        <v>23.38087</v>
      </c>
      <c r="K23" s="0" t="n">
        <v>24.29235</v>
      </c>
      <c r="L23" s="0" t="n">
        <v>23.51593</v>
      </c>
      <c r="M23" s="0" t="n">
        <v>23.25782</v>
      </c>
      <c r="N23" s="0" t="n">
        <v>23.63522</v>
      </c>
      <c r="O23" s="0" t="n">
        <v>24.67853</v>
      </c>
      <c r="P23" s="0" t="n">
        <v>23.87427</v>
      </c>
      <c r="Q23" s="0" t="n">
        <v>23.73614</v>
      </c>
      <c r="R23" s="0" t="n">
        <v>23.453</v>
      </c>
      <c r="S23" s="0" t="n">
        <v>23.90353</v>
      </c>
      <c r="T23" s="0" t="n">
        <v>23.79074</v>
      </c>
      <c r="U23" s="0" t="n">
        <v>24.13806</v>
      </c>
      <c r="V23" s="8" t="n">
        <v>24.03053</v>
      </c>
      <c r="W23" s="9" t="n">
        <v>23.59012</v>
      </c>
      <c r="X23" s="9" t="n">
        <v>23.99697</v>
      </c>
      <c r="Y23" s="9" t="n">
        <v>24.1529</v>
      </c>
      <c r="Z23" s="9" t="n">
        <v>23.34055</v>
      </c>
      <c r="AA23" s="9" t="n">
        <v>24.24213</v>
      </c>
      <c r="AB23" s="10" t="n">
        <v>23.74212</v>
      </c>
    </row>
    <row r="24" customFormat="false" ht="13.8" hidden="false" customHeight="false" outlineLevel="0" collapsed="false">
      <c r="A24" s="0" t="s">
        <v>354</v>
      </c>
      <c r="B24" s="8" t="n">
        <v>19.23582</v>
      </c>
      <c r="C24" s="9" t="n">
        <v>19.30247</v>
      </c>
      <c r="D24" s="9" t="n">
        <v>21.40561</v>
      </c>
      <c r="E24" s="9" t="n">
        <v>19.54958</v>
      </c>
      <c r="F24" s="9" t="n">
        <v>19.08672</v>
      </c>
      <c r="G24" s="9" t="n">
        <v>19.52396</v>
      </c>
      <c r="H24" s="10" t="n">
        <v>19.82627</v>
      </c>
      <c r="I24" s="0" t="n">
        <v>19.04793</v>
      </c>
      <c r="J24" s="0" t="n">
        <v>20.71137</v>
      </c>
      <c r="K24" s="0" t="n">
        <v>20.99155</v>
      </c>
      <c r="L24" s="0" t="n">
        <v>20.21169</v>
      </c>
      <c r="M24" s="0" t="n">
        <v>19.9402</v>
      </c>
      <c r="N24" s="0" t="n">
        <v>18.12787</v>
      </c>
      <c r="O24" s="0" t="n">
        <v>23.1207</v>
      </c>
      <c r="P24" s="0" t="n">
        <v>20.80774</v>
      </c>
      <c r="Q24" s="0" t="n">
        <v>19.02969</v>
      </c>
      <c r="R24" s="0" t="n">
        <v>19.39528</v>
      </c>
      <c r="S24" s="0" t="n">
        <v>19.27242</v>
      </c>
      <c r="T24" s="0" t="n">
        <v>19.64135</v>
      </c>
      <c r="U24" s="0" t="n">
        <v>19.67275</v>
      </c>
      <c r="V24" s="8" t="n">
        <v>19.4521</v>
      </c>
      <c r="W24" s="9" t="n">
        <v>19.06329</v>
      </c>
      <c r="X24" s="9" t="n">
        <v>18.96531</v>
      </c>
      <c r="Y24" s="9" t="n">
        <v>18.52929</v>
      </c>
      <c r="Z24" s="9" t="n">
        <v>18.68815</v>
      </c>
      <c r="AA24" s="9" t="n">
        <v>19.17553</v>
      </c>
      <c r="AB24" s="10" t="n">
        <v>18.4309</v>
      </c>
    </row>
    <row r="25" customFormat="false" ht="13.8" hidden="false" customHeight="false" outlineLevel="0" collapsed="false">
      <c r="A25" s="0" t="s">
        <v>448</v>
      </c>
      <c r="B25" s="8" t="n">
        <v>15.32372</v>
      </c>
      <c r="C25" s="9" t="n">
        <v>14.51039</v>
      </c>
      <c r="D25" s="9" t="n">
        <v>14.95665</v>
      </c>
      <c r="E25" s="9" t="n">
        <v>13.45529</v>
      </c>
      <c r="F25" s="9" t="n">
        <v>16.59731</v>
      </c>
      <c r="G25" s="9" t="n">
        <v>16.37533</v>
      </c>
      <c r="H25" s="10" t="n">
        <v>12.6089</v>
      </c>
      <c r="I25" s="0" t="n">
        <v>16.73516</v>
      </c>
      <c r="J25" s="0" t="n">
        <v>15.78023</v>
      </c>
      <c r="K25" s="0" t="n">
        <v>14.33155</v>
      </c>
      <c r="L25" s="0" t="n">
        <v>21.14582</v>
      </c>
      <c r="M25" s="0" t="n">
        <v>20.53763</v>
      </c>
      <c r="N25" s="0" t="n">
        <v>18.92268</v>
      </c>
      <c r="O25" s="0" t="n">
        <v>15.27583</v>
      </c>
      <c r="P25" s="0" t="n">
        <v>12.71984</v>
      </c>
      <c r="Q25" s="0" t="n">
        <v>18.4853</v>
      </c>
      <c r="R25" s="0" t="n">
        <v>18.30113</v>
      </c>
      <c r="S25" s="0" t="n">
        <v>18.10482</v>
      </c>
      <c r="T25" s="0" t="n">
        <v>17.57688</v>
      </c>
      <c r="U25" s="0" t="n">
        <v>15.51856</v>
      </c>
      <c r="V25" s="8" t="n">
        <v>16.55499</v>
      </c>
      <c r="W25" s="9" t="n">
        <v>21.98384</v>
      </c>
      <c r="X25" s="9" t="n">
        <v>13.80312</v>
      </c>
      <c r="Y25" s="9" t="n">
        <v>17.69534</v>
      </c>
      <c r="Z25" s="9" t="n">
        <v>13.65765</v>
      </c>
      <c r="AA25" s="9" t="n">
        <v>13.91933</v>
      </c>
      <c r="AB25" s="10" t="n">
        <v>15.99612</v>
      </c>
    </row>
    <row r="26" customFormat="false" ht="13.8" hidden="false" customHeight="false" outlineLevel="0" collapsed="false">
      <c r="A26" s="0" t="s">
        <v>322</v>
      </c>
      <c r="B26" s="8" t="n">
        <v>23.59423</v>
      </c>
      <c r="C26" s="9" t="n">
        <v>23.536</v>
      </c>
      <c r="D26" s="9" t="n">
        <v>23.93643</v>
      </c>
      <c r="E26" s="9" t="n">
        <v>23.5248</v>
      </c>
      <c r="F26" s="9" t="n">
        <v>23.61852</v>
      </c>
      <c r="G26" s="9" t="n">
        <v>23.83123</v>
      </c>
      <c r="H26" s="10" t="n">
        <v>22.98944</v>
      </c>
      <c r="I26" s="0" t="n">
        <v>23.45776</v>
      </c>
      <c r="J26" s="0" t="n">
        <v>23.44152</v>
      </c>
      <c r="K26" s="0" t="n">
        <v>23.63677</v>
      </c>
      <c r="L26" s="0" t="n">
        <v>22.63646</v>
      </c>
      <c r="M26" s="0" t="n">
        <v>23.22932</v>
      </c>
      <c r="N26" s="0" t="n">
        <v>23.33497</v>
      </c>
      <c r="O26" s="0" t="n">
        <v>24.39539</v>
      </c>
      <c r="P26" s="0" t="n">
        <v>23.80656</v>
      </c>
      <c r="Q26" s="0" t="n">
        <v>23.37796</v>
      </c>
      <c r="R26" s="0" t="n">
        <v>23.93993</v>
      </c>
      <c r="S26" s="0" t="n">
        <v>23.171</v>
      </c>
      <c r="T26" s="0" t="n">
        <v>23.2939</v>
      </c>
      <c r="U26" s="0" t="n">
        <v>23.60377</v>
      </c>
      <c r="V26" s="8" t="n">
        <v>23.55684</v>
      </c>
      <c r="W26" s="9" t="n">
        <v>22.67532</v>
      </c>
      <c r="X26" s="9" t="n">
        <v>23.13297</v>
      </c>
      <c r="Y26" s="9" t="n">
        <v>23.00137</v>
      </c>
      <c r="Z26" s="9" t="n">
        <v>23.26227</v>
      </c>
      <c r="AA26" s="9" t="n">
        <v>23.46849</v>
      </c>
      <c r="AB26" s="10" t="n">
        <v>22.87245</v>
      </c>
    </row>
    <row r="27" customFormat="false" ht="13.8" hidden="false" customHeight="false" outlineLevel="0" collapsed="false">
      <c r="A27" s="0" t="s">
        <v>537</v>
      </c>
      <c r="B27" s="8" t="n">
        <v>16.20149</v>
      </c>
      <c r="C27" s="9" t="n">
        <v>16.26224</v>
      </c>
      <c r="D27" s="9" t="n">
        <v>16.77483</v>
      </c>
      <c r="E27" s="9" t="n">
        <v>16.44121</v>
      </c>
      <c r="F27" s="9" t="n">
        <v>16.71585</v>
      </c>
      <c r="G27" s="9" t="n">
        <v>16.5448</v>
      </c>
      <c r="H27" s="10" t="n">
        <v>17.64343</v>
      </c>
      <c r="I27" s="0" t="n">
        <v>16.31308</v>
      </c>
      <c r="J27" s="0" t="n">
        <v>16.6851</v>
      </c>
      <c r="K27" s="0" t="n">
        <v>17.74944</v>
      </c>
      <c r="L27" s="0" t="n">
        <v>17.77538</v>
      </c>
      <c r="M27" s="0" t="n">
        <v>18.04655</v>
      </c>
      <c r="N27" s="0" t="n">
        <v>16.8129</v>
      </c>
      <c r="O27" s="0" t="n">
        <v>17.27703</v>
      </c>
      <c r="P27" s="0" t="n">
        <v>18.48306</v>
      </c>
      <c r="Q27" s="0" t="n">
        <v>16.4145</v>
      </c>
      <c r="R27" s="0" t="n">
        <v>16.74859</v>
      </c>
      <c r="S27" s="0" t="n">
        <v>16.17857</v>
      </c>
      <c r="T27" s="0" t="n">
        <v>16.42216</v>
      </c>
      <c r="U27" s="0" t="n">
        <v>16.48651</v>
      </c>
      <c r="V27" s="8" t="n">
        <v>17.43949</v>
      </c>
      <c r="W27" s="9" t="n">
        <v>16.27132</v>
      </c>
      <c r="X27" s="9" t="n">
        <v>17.62092</v>
      </c>
      <c r="Y27" s="9" t="n">
        <v>17.70286</v>
      </c>
      <c r="Z27" s="9" t="n">
        <v>17.85075</v>
      </c>
      <c r="AA27" s="9" t="n">
        <v>17.26114</v>
      </c>
      <c r="AB27" s="10" t="n">
        <v>18.12182</v>
      </c>
    </row>
    <row r="28" customFormat="false" ht="13.8" hidden="false" customHeight="false" outlineLevel="0" collapsed="false">
      <c r="A28" s="0" t="s">
        <v>388</v>
      </c>
      <c r="B28" s="8" t="n">
        <v>17.62649</v>
      </c>
      <c r="C28" s="9" t="n">
        <v>18.19816</v>
      </c>
      <c r="D28" s="9" t="n">
        <v>17.79127</v>
      </c>
      <c r="E28" s="9" t="n">
        <v>18.47183</v>
      </c>
      <c r="F28" s="9" t="n">
        <v>18.51768</v>
      </c>
      <c r="G28" s="9" t="n">
        <v>18.22515</v>
      </c>
      <c r="H28" s="10" t="n">
        <v>17.46818</v>
      </c>
      <c r="I28" s="0" t="n">
        <v>17.9124</v>
      </c>
      <c r="J28" s="0" t="n">
        <v>18.54435</v>
      </c>
      <c r="K28" s="0" t="n">
        <v>19.03896</v>
      </c>
      <c r="L28" s="0" t="n">
        <v>15.82577</v>
      </c>
      <c r="M28" s="0" t="n">
        <v>17.20801</v>
      </c>
      <c r="N28" s="0" t="n">
        <v>18.53382</v>
      </c>
      <c r="O28" s="0" t="n">
        <v>19.48638</v>
      </c>
      <c r="P28" s="0" t="n">
        <v>16.8825</v>
      </c>
      <c r="Q28" s="0" t="n">
        <v>17.92515</v>
      </c>
      <c r="R28" s="0" t="n">
        <v>18.16992</v>
      </c>
      <c r="S28" s="0" t="n">
        <v>18.59467</v>
      </c>
      <c r="T28" s="0" t="n">
        <v>18.3107</v>
      </c>
      <c r="U28" s="0" t="n">
        <v>18.38132</v>
      </c>
      <c r="V28" s="8" t="n">
        <v>18.4433</v>
      </c>
      <c r="W28" s="9" t="n">
        <v>18.19215</v>
      </c>
      <c r="X28" s="9" t="n">
        <v>18.92141</v>
      </c>
      <c r="Y28" s="9" t="n">
        <v>19.03408</v>
      </c>
      <c r="Z28" s="9" t="n">
        <v>18.71112</v>
      </c>
      <c r="AA28" s="9" t="n">
        <v>19.0033</v>
      </c>
      <c r="AB28" s="10" t="n">
        <v>18.32246</v>
      </c>
    </row>
    <row r="29" customFormat="false" ht="13.8" hidden="false" customHeight="false" outlineLevel="0" collapsed="false">
      <c r="A29" s="0" t="s">
        <v>538</v>
      </c>
      <c r="B29" s="8" t="n">
        <v>16.96251</v>
      </c>
      <c r="C29" s="9" t="n">
        <v>15.6474</v>
      </c>
      <c r="D29" s="9" t="n">
        <v>16.36293</v>
      </c>
      <c r="E29" s="9" t="n">
        <v>16.06842</v>
      </c>
      <c r="F29" s="9" t="n">
        <v>16.47856</v>
      </c>
      <c r="G29" s="9" t="n">
        <v>16.61884</v>
      </c>
      <c r="H29" s="10" t="n">
        <v>17.40333</v>
      </c>
      <c r="I29" s="0" t="n">
        <v>16.12811</v>
      </c>
      <c r="J29" s="0" t="n">
        <v>16.74491</v>
      </c>
      <c r="K29" s="0" t="n">
        <v>17.06108</v>
      </c>
      <c r="L29" s="0" t="n">
        <v>17.12307</v>
      </c>
      <c r="M29" s="0" t="n">
        <v>19.09697</v>
      </c>
      <c r="N29" s="0" t="n">
        <v>15.7436</v>
      </c>
      <c r="O29" s="0" t="n">
        <v>16.17713</v>
      </c>
      <c r="P29" s="0" t="n">
        <v>17.80612</v>
      </c>
      <c r="Q29" s="0" t="n">
        <v>16.37103</v>
      </c>
      <c r="R29" s="0" t="n">
        <v>15.74531</v>
      </c>
      <c r="S29" s="0" t="n">
        <v>16.0411</v>
      </c>
      <c r="T29" s="0" t="n">
        <v>15.90452</v>
      </c>
      <c r="U29" s="0" t="n">
        <v>16.81903</v>
      </c>
      <c r="V29" s="8" t="n">
        <v>14.64135</v>
      </c>
      <c r="W29" s="9" t="n">
        <v>17.13711</v>
      </c>
      <c r="X29" s="9" t="n">
        <v>15.56084</v>
      </c>
      <c r="Y29" s="9" t="n">
        <v>15.61876</v>
      </c>
      <c r="Z29" s="9" t="n">
        <v>16.04097</v>
      </c>
      <c r="AA29" s="9" t="n">
        <v>16.29873</v>
      </c>
      <c r="AB29" s="10" t="n">
        <v>15.57406</v>
      </c>
    </row>
    <row r="30" customFormat="false" ht="13.8" hidden="false" customHeight="false" outlineLevel="0" collapsed="false">
      <c r="A30" s="0" t="s">
        <v>539</v>
      </c>
      <c r="B30" s="8" t="n">
        <v>17.9036</v>
      </c>
      <c r="C30" s="9" t="n">
        <v>17.99937</v>
      </c>
      <c r="D30" s="9" t="n">
        <v>18.41055</v>
      </c>
      <c r="E30" s="9" t="n">
        <v>18.24665</v>
      </c>
      <c r="F30" s="9" t="n">
        <v>18.56852</v>
      </c>
      <c r="G30" s="9" t="n">
        <v>18.96065</v>
      </c>
      <c r="H30" s="10" t="n">
        <v>18.019</v>
      </c>
      <c r="I30" s="0" t="n">
        <v>18.90304</v>
      </c>
      <c r="J30" s="0" t="n">
        <v>18.38385</v>
      </c>
      <c r="K30" s="0" t="n">
        <v>18.88136</v>
      </c>
      <c r="L30" s="0" t="n">
        <v>17.18513</v>
      </c>
      <c r="M30" s="0" t="n">
        <v>17.44912</v>
      </c>
      <c r="N30" s="0" t="n">
        <v>18.63062</v>
      </c>
      <c r="O30" s="0" t="n">
        <v>19.42675</v>
      </c>
      <c r="P30" s="0" t="n">
        <v>18.3753</v>
      </c>
      <c r="Q30" s="0" t="n">
        <v>18.32474</v>
      </c>
      <c r="R30" s="0" t="n">
        <v>18.74944</v>
      </c>
      <c r="S30" s="0" t="n">
        <v>18.53169</v>
      </c>
      <c r="T30" s="0" t="n">
        <v>18.9861</v>
      </c>
      <c r="U30" s="0" t="n">
        <v>18.86348</v>
      </c>
      <c r="V30" s="8" t="n">
        <v>18.76325</v>
      </c>
      <c r="W30" s="9" t="n">
        <v>19.03869</v>
      </c>
      <c r="X30" s="9" t="n">
        <v>18.40715</v>
      </c>
      <c r="Y30" s="9" t="n">
        <v>18.57093</v>
      </c>
      <c r="Z30" s="9" t="n">
        <v>19.1775</v>
      </c>
      <c r="AA30" s="9" t="n">
        <v>19.03158</v>
      </c>
      <c r="AB30" s="10" t="n">
        <v>19.60462</v>
      </c>
    </row>
    <row r="31" customFormat="false" ht="13.8" hidden="false" customHeight="false" outlineLevel="0" collapsed="false">
      <c r="A31" s="0" t="s">
        <v>540</v>
      </c>
      <c r="B31" s="8" t="n">
        <v>20.60159</v>
      </c>
      <c r="C31" s="9" t="n">
        <v>20.8578</v>
      </c>
      <c r="D31" s="9" t="n">
        <v>21.23316</v>
      </c>
      <c r="E31" s="9" t="n">
        <v>21.76255</v>
      </c>
      <c r="F31" s="9" t="n">
        <v>21.02513</v>
      </c>
      <c r="G31" s="9" t="n">
        <v>21.01134</v>
      </c>
      <c r="H31" s="10" t="n">
        <v>20.42726</v>
      </c>
      <c r="I31" s="0" t="n">
        <v>20.94578</v>
      </c>
      <c r="J31" s="0" t="n">
        <v>20.98635</v>
      </c>
      <c r="K31" s="0" t="n">
        <v>21.71574</v>
      </c>
      <c r="L31" s="0" t="n">
        <v>21.04313</v>
      </c>
      <c r="M31" s="0" t="n">
        <v>20.8717</v>
      </c>
      <c r="N31" s="0" t="n">
        <v>20.99886</v>
      </c>
      <c r="O31" s="0" t="n">
        <v>17.26453</v>
      </c>
      <c r="P31" s="0" t="n">
        <v>21.81515</v>
      </c>
      <c r="Q31" s="0" t="n">
        <v>20.84053</v>
      </c>
      <c r="R31" s="0" t="n">
        <v>20.69439</v>
      </c>
      <c r="S31" s="0" t="n">
        <v>20.45523</v>
      </c>
      <c r="T31" s="0" t="n">
        <v>20.80625</v>
      </c>
      <c r="U31" s="0" t="n">
        <v>21.10942</v>
      </c>
      <c r="V31" s="8" t="n">
        <v>21.45036</v>
      </c>
      <c r="W31" s="9" t="n">
        <v>21.79891</v>
      </c>
      <c r="X31" s="9" t="n">
        <v>21.30145</v>
      </c>
      <c r="Y31" s="9" t="n">
        <v>21.42157</v>
      </c>
      <c r="Z31" s="9" t="n">
        <v>21.39305</v>
      </c>
      <c r="AA31" s="9" t="n">
        <v>21.64619</v>
      </c>
      <c r="AB31" s="10" t="n">
        <v>21.43206</v>
      </c>
    </row>
    <row r="32" customFormat="false" ht="13.8" hidden="false" customHeight="false" outlineLevel="0" collapsed="false">
      <c r="A32" s="0" t="s">
        <v>541</v>
      </c>
      <c r="B32" s="8" t="n">
        <v>16.0111</v>
      </c>
      <c r="C32" s="9" t="n">
        <v>16.82799</v>
      </c>
      <c r="D32" s="9" t="n">
        <v>16.42028</v>
      </c>
      <c r="E32" s="9" t="n">
        <v>16.33703</v>
      </c>
      <c r="F32" s="9" t="n">
        <v>16.45189</v>
      </c>
      <c r="G32" s="9" t="n">
        <v>16.58939</v>
      </c>
      <c r="H32" s="10" t="n">
        <v>16.15284</v>
      </c>
      <c r="I32" s="0" t="n">
        <v>16.54447</v>
      </c>
      <c r="J32" s="0" t="n">
        <v>16.22485</v>
      </c>
      <c r="K32" s="0" t="n">
        <v>16.57512</v>
      </c>
      <c r="L32" s="0" t="n">
        <v>17.31855</v>
      </c>
      <c r="M32" s="0" t="n">
        <v>16.26827</v>
      </c>
      <c r="N32" s="0" t="n">
        <v>16.53682</v>
      </c>
      <c r="O32" s="0" t="n">
        <v>17.68408</v>
      </c>
      <c r="P32" s="0" t="n">
        <v>16.1872</v>
      </c>
      <c r="Q32" s="0" t="n">
        <v>16.61439</v>
      </c>
      <c r="R32" s="0" t="n">
        <v>16.96296</v>
      </c>
      <c r="S32" s="0" t="n">
        <v>16.47002</v>
      </c>
      <c r="T32" s="0" t="n">
        <v>16.0956</v>
      </c>
      <c r="U32" s="0" t="n">
        <v>16.51143</v>
      </c>
      <c r="V32" s="8" t="n">
        <v>15.60322</v>
      </c>
      <c r="W32" s="9" t="n">
        <v>16.64202</v>
      </c>
      <c r="X32" s="9" t="n">
        <v>16.56254</v>
      </c>
      <c r="Y32" s="9" t="n">
        <v>18.69636</v>
      </c>
      <c r="Z32" s="9" t="n">
        <v>17.71827</v>
      </c>
      <c r="AA32" s="9" t="n">
        <v>16.91684</v>
      </c>
      <c r="AB32" s="10" t="n">
        <v>17.70725</v>
      </c>
    </row>
    <row r="33" customFormat="false" ht="13.8" hidden="false" customHeight="false" outlineLevel="0" collapsed="false">
      <c r="A33" s="0" t="s">
        <v>542</v>
      </c>
      <c r="B33" s="8" t="n">
        <v>18.3742</v>
      </c>
      <c r="C33" s="9" t="n">
        <v>18.99604</v>
      </c>
      <c r="D33" s="9" t="n">
        <v>15.38323</v>
      </c>
      <c r="E33" s="9" t="n">
        <v>18.3599</v>
      </c>
      <c r="F33" s="9" t="n">
        <v>18.52187</v>
      </c>
      <c r="G33" s="9" t="n">
        <v>17.78788</v>
      </c>
      <c r="H33" s="10" t="n">
        <v>17.03843</v>
      </c>
      <c r="I33" s="0" t="n">
        <v>18.71085</v>
      </c>
      <c r="J33" s="0" t="n">
        <v>17.60292</v>
      </c>
      <c r="K33" s="0" t="n">
        <v>17.43843</v>
      </c>
      <c r="L33" s="0" t="n">
        <v>17.23698</v>
      </c>
      <c r="M33" s="0" t="n">
        <v>16.93192</v>
      </c>
      <c r="N33" s="0" t="n">
        <v>18.57766</v>
      </c>
      <c r="O33" s="0" t="n">
        <v>18.49946</v>
      </c>
      <c r="P33" s="0" t="n">
        <v>16.30804</v>
      </c>
      <c r="Q33" s="0" t="n">
        <v>17.86942</v>
      </c>
      <c r="R33" s="0" t="n">
        <v>19.16271</v>
      </c>
      <c r="S33" s="0" t="n">
        <v>17.81284</v>
      </c>
      <c r="T33" s="0" t="n">
        <v>18.20256</v>
      </c>
      <c r="U33" s="0" t="n">
        <v>17.7714</v>
      </c>
      <c r="V33" s="8" t="n">
        <v>19.23093</v>
      </c>
      <c r="W33" s="9" t="n">
        <v>17.86653</v>
      </c>
      <c r="X33" s="9" t="n">
        <v>18.134</v>
      </c>
      <c r="Y33" s="9" t="n">
        <v>19.17809</v>
      </c>
      <c r="Z33" s="9" t="n">
        <v>18.42366</v>
      </c>
      <c r="AA33" s="9" t="n">
        <v>18.63803</v>
      </c>
      <c r="AB33" s="10" t="n">
        <v>19.16391</v>
      </c>
    </row>
    <row r="34" customFormat="false" ht="13.8" hidden="false" customHeight="false" outlineLevel="0" collapsed="false">
      <c r="A34" s="0" t="s">
        <v>328</v>
      </c>
      <c r="B34" s="8" t="n">
        <v>20.25753</v>
      </c>
      <c r="C34" s="9" t="n">
        <v>20.53602</v>
      </c>
      <c r="D34" s="9" t="n">
        <v>18.30768</v>
      </c>
      <c r="E34" s="9" t="n">
        <v>20.76061</v>
      </c>
      <c r="F34" s="9" t="n">
        <v>20.50543</v>
      </c>
      <c r="G34" s="9" t="n">
        <v>20.81613</v>
      </c>
      <c r="H34" s="10" t="n">
        <v>20.11337</v>
      </c>
      <c r="I34" s="0" t="n">
        <v>20.5871</v>
      </c>
      <c r="J34" s="0" t="n">
        <v>20.95971</v>
      </c>
      <c r="K34" s="0" t="n">
        <v>20.93121</v>
      </c>
      <c r="L34" s="0" t="n">
        <v>18.38229</v>
      </c>
      <c r="M34" s="0" t="n">
        <v>20.22694</v>
      </c>
      <c r="N34" s="0" t="n">
        <v>20.81495</v>
      </c>
      <c r="O34" s="0" t="n">
        <v>19.18628</v>
      </c>
      <c r="P34" s="0" t="n">
        <v>20.52363</v>
      </c>
      <c r="Q34" s="0" t="n">
        <v>20.69464</v>
      </c>
      <c r="R34" s="0" t="n">
        <v>20.98106</v>
      </c>
      <c r="S34" s="0" t="n">
        <v>21.01903</v>
      </c>
      <c r="T34" s="0" t="n">
        <v>21.03946</v>
      </c>
      <c r="U34" s="0" t="n">
        <v>20.84827</v>
      </c>
      <c r="V34" s="8" t="n">
        <v>21.63139</v>
      </c>
      <c r="W34" s="9" t="n">
        <v>20.82314</v>
      </c>
      <c r="X34" s="9" t="n">
        <v>20.14644</v>
      </c>
      <c r="Y34" s="9" t="n">
        <v>21.05676</v>
      </c>
      <c r="Z34" s="9" t="n">
        <v>21.20538</v>
      </c>
      <c r="AA34" s="9" t="n">
        <v>20.78796</v>
      </c>
      <c r="AB34" s="10" t="n">
        <v>21.38943</v>
      </c>
    </row>
    <row r="35" customFormat="false" ht="13.8" hidden="false" customHeight="false" outlineLevel="0" collapsed="false">
      <c r="A35" s="0" t="s">
        <v>164</v>
      </c>
      <c r="B35" s="8" t="n">
        <v>16.04367</v>
      </c>
      <c r="C35" s="9" t="n">
        <v>16.79538</v>
      </c>
      <c r="D35" s="9" t="n">
        <v>16.03704</v>
      </c>
      <c r="E35" s="9" t="n">
        <v>14.91625</v>
      </c>
      <c r="F35" s="9" t="n">
        <v>15.95374</v>
      </c>
      <c r="G35" s="9" t="n">
        <v>15.72353</v>
      </c>
      <c r="H35" s="10" t="n">
        <v>16.4533</v>
      </c>
      <c r="I35" s="0" t="n">
        <v>16.57538</v>
      </c>
      <c r="J35" s="0" t="n">
        <v>16.01097</v>
      </c>
      <c r="K35" s="0" t="n">
        <v>15.06214</v>
      </c>
      <c r="L35" s="0" t="n">
        <v>16.56501</v>
      </c>
      <c r="M35" s="0" t="n">
        <v>16.9547</v>
      </c>
      <c r="N35" s="0" t="n">
        <v>16.56139</v>
      </c>
      <c r="O35" s="0" t="n">
        <v>15.62051</v>
      </c>
      <c r="P35" s="0" t="n">
        <v>17.50789</v>
      </c>
      <c r="Q35" s="0" t="n">
        <v>17.71196</v>
      </c>
      <c r="R35" s="0" t="n">
        <v>16.93549</v>
      </c>
      <c r="S35" s="0" t="n">
        <v>16.43788</v>
      </c>
      <c r="T35" s="0" t="n">
        <v>16.52257</v>
      </c>
      <c r="U35" s="0" t="n">
        <v>16.40241</v>
      </c>
      <c r="V35" s="8" t="n">
        <v>15.62827</v>
      </c>
      <c r="W35" s="9" t="n">
        <v>12.58949</v>
      </c>
      <c r="X35" s="9" t="n">
        <v>16.32119</v>
      </c>
      <c r="Y35" s="9" t="n">
        <v>17.12212</v>
      </c>
      <c r="Z35" s="9" t="n">
        <v>16.73886</v>
      </c>
      <c r="AA35" s="9" t="n">
        <v>16.22865</v>
      </c>
      <c r="AB35" s="10" t="n">
        <v>18.3413</v>
      </c>
    </row>
    <row r="36" customFormat="false" ht="13.8" hidden="false" customHeight="false" outlineLevel="0" collapsed="false">
      <c r="A36" s="0" t="s">
        <v>543</v>
      </c>
      <c r="B36" s="8" t="n">
        <v>25.01682</v>
      </c>
      <c r="C36" s="9" t="n">
        <v>24.64169</v>
      </c>
      <c r="D36" s="9" t="n">
        <v>25.23531</v>
      </c>
      <c r="E36" s="9" t="n">
        <v>24.79595</v>
      </c>
      <c r="F36" s="9" t="n">
        <v>25.22781</v>
      </c>
      <c r="G36" s="9" t="n">
        <v>24.70097</v>
      </c>
      <c r="H36" s="10" t="n">
        <v>24.49521</v>
      </c>
      <c r="I36" s="0" t="n">
        <v>25.09511</v>
      </c>
      <c r="J36" s="0" t="n">
        <v>25.12364</v>
      </c>
      <c r="K36" s="0" t="n">
        <v>24.98763</v>
      </c>
      <c r="L36" s="0" t="n">
        <v>24.57259</v>
      </c>
      <c r="M36" s="0" t="n">
        <v>24.32457</v>
      </c>
      <c r="N36" s="0" t="n">
        <v>25.19746</v>
      </c>
      <c r="O36" s="0" t="n">
        <v>24.90196</v>
      </c>
      <c r="P36" s="0" t="n">
        <v>24.38745</v>
      </c>
      <c r="Q36" s="0" t="n">
        <v>24.88274</v>
      </c>
      <c r="R36" s="0" t="n">
        <v>25.09362</v>
      </c>
      <c r="S36" s="0" t="n">
        <v>24.92918</v>
      </c>
      <c r="T36" s="0" t="n">
        <v>25.27909</v>
      </c>
      <c r="U36" s="0" t="n">
        <v>24.82046</v>
      </c>
      <c r="V36" s="8" t="n">
        <v>25.59898</v>
      </c>
      <c r="W36" s="9" t="n">
        <v>25.08091</v>
      </c>
      <c r="X36" s="9" t="n">
        <v>24.88409</v>
      </c>
      <c r="Y36" s="9" t="n">
        <v>24.8715</v>
      </c>
      <c r="Z36" s="9" t="n">
        <v>25.01423</v>
      </c>
      <c r="AA36" s="9" t="n">
        <v>25.22839</v>
      </c>
      <c r="AB36" s="10" t="n">
        <v>25.51746</v>
      </c>
    </row>
    <row r="37" customFormat="false" ht="13.8" hidden="false" customHeight="false" outlineLevel="0" collapsed="false">
      <c r="A37" s="0" t="s">
        <v>444</v>
      </c>
      <c r="B37" s="8" t="n">
        <v>21.48851</v>
      </c>
      <c r="C37" s="9" t="n">
        <v>20.80617</v>
      </c>
      <c r="D37" s="9" t="n">
        <v>22.3644</v>
      </c>
      <c r="E37" s="9" t="n">
        <v>21.32564</v>
      </c>
      <c r="F37" s="9" t="n">
        <v>20.9315</v>
      </c>
      <c r="G37" s="9" t="n">
        <v>21.57191</v>
      </c>
      <c r="H37" s="10" t="n">
        <v>20.61468</v>
      </c>
      <c r="I37" s="0" t="n">
        <v>21.34597</v>
      </c>
      <c r="J37" s="0" t="n">
        <v>21.65106</v>
      </c>
      <c r="K37" s="0" t="n">
        <v>21.08784</v>
      </c>
      <c r="L37" s="0" t="n">
        <v>21.10655</v>
      </c>
      <c r="M37" s="0" t="n">
        <v>20.1437</v>
      </c>
      <c r="N37" s="0" t="n">
        <v>21.75005</v>
      </c>
      <c r="O37" s="0" t="n">
        <v>21.66336</v>
      </c>
      <c r="P37" s="0" t="n">
        <v>20.21939</v>
      </c>
      <c r="Q37" s="0" t="n">
        <v>20.98183</v>
      </c>
      <c r="R37" s="0" t="n">
        <v>21.73037</v>
      </c>
      <c r="S37" s="0" t="n">
        <v>21.61392</v>
      </c>
      <c r="T37" s="0" t="n">
        <v>21.32509</v>
      </c>
      <c r="U37" s="0" t="n">
        <v>21.48974</v>
      </c>
      <c r="V37" s="8" t="n">
        <v>21.679</v>
      </c>
      <c r="W37" s="9" t="n">
        <v>21.33957</v>
      </c>
      <c r="X37" s="9" t="n">
        <v>21.98735</v>
      </c>
      <c r="Y37" s="9" t="n">
        <v>21.61531</v>
      </c>
      <c r="Z37" s="9" t="n">
        <v>21.31252</v>
      </c>
      <c r="AA37" s="9" t="n">
        <v>21.98694</v>
      </c>
      <c r="AB37" s="10" t="n">
        <v>21.50101</v>
      </c>
    </row>
    <row r="38" customFormat="false" ht="13.8" hidden="false" customHeight="false" outlineLevel="0" collapsed="false">
      <c r="A38" s="0" t="s">
        <v>544</v>
      </c>
      <c r="B38" s="8" t="n">
        <v>20.18689</v>
      </c>
      <c r="C38" s="9" t="n">
        <v>20.28093</v>
      </c>
      <c r="D38" s="9" t="n">
        <v>20.92636</v>
      </c>
      <c r="E38" s="9" t="n">
        <v>21.07274</v>
      </c>
      <c r="F38" s="9" t="n">
        <v>20.99238</v>
      </c>
      <c r="G38" s="9" t="n">
        <v>20.69243</v>
      </c>
      <c r="H38" s="10" t="n">
        <v>20.86423</v>
      </c>
      <c r="I38" s="0" t="n">
        <v>20.9631</v>
      </c>
      <c r="J38" s="0" t="n">
        <v>20.74829</v>
      </c>
      <c r="K38" s="0" t="n">
        <v>20.61935</v>
      </c>
      <c r="L38" s="0" t="n">
        <v>19.59905</v>
      </c>
      <c r="M38" s="0" t="n">
        <v>23.40432</v>
      </c>
      <c r="N38" s="0" t="n">
        <v>21.2577</v>
      </c>
      <c r="O38" s="0" t="n">
        <v>19.00561</v>
      </c>
      <c r="P38" s="0" t="n">
        <v>23.01052</v>
      </c>
      <c r="Q38" s="0" t="n">
        <v>20.58893</v>
      </c>
      <c r="R38" s="0" t="n">
        <v>21.10476</v>
      </c>
      <c r="S38" s="0" t="n">
        <v>20.37888</v>
      </c>
      <c r="T38" s="0" t="n">
        <v>20.76903</v>
      </c>
      <c r="U38" s="0" t="n">
        <v>20.12187</v>
      </c>
      <c r="V38" s="8" t="n">
        <v>21.98905</v>
      </c>
      <c r="W38" s="9" t="n">
        <v>21.27503</v>
      </c>
      <c r="X38" s="9" t="n">
        <v>21.5015</v>
      </c>
      <c r="Y38" s="9" t="n">
        <v>21.47001</v>
      </c>
      <c r="Z38" s="9" t="n">
        <v>21.37857</v>
      </c>
      <c r="AA38" s="9" t="n">
        <v>21.37798</v>
      </c>
      <c r="AB38" s="10" t="n">
        <v>21.17792</v>
      </c>
    </row>
    <row r="39" customFormat="false" ht="13.8" hidden="false" customHeight="false" outlineLevel="0" collapsed="false">
      <c r="A39" s="0" t="s">
        <v>76</v>
      </c>
      <c r="B39" s="8" t="n">
        <v>15.5548</v>
      </c>
      <c r="C39" s="9" t="n">
        <v>15.12602</v>
      </c>
      <c r="D39" s="9" t="n">
        <v>16.27262</v>
      </c>
      <c r="E39" s="9" t="n">
        <v>16.4766</v>
      </c>
      <c r="F39" s="9" t="n">
        <v>16.21443</v>
      </c>
      <c r="G39" s="9" t="n">
        <v>16.25158</v>
      </c>
      <c r="H39" s="10" t="n">
        <v>16.17707</v>
      </c>
      <c r="I39" s="0" t="n">
        <v>17.11319</v>
      </c>
      <c r="J39" s="0" t="n">
        <v>16.12671</v>
      </c>
      <c r="K39" s="0" t="n">
        <v>15.10636</v>
      </c>
      <c r="L39" s="0" t="n">
        <v>16.34158</v>
      </c>
      <c r="M39" s="0" t="n">
        <v>16.94215</v>
      </c>
      <c r="N39" s="0" t="n">
        <v>16.73978</v>
      </c>
      <c r="O39" s="0" t="n">
        <v>14.11287</v>
      </c>
      <c r="P39" s="0" t="n">
        <v>17.89196</v>
      </c>
      <c r="Q39" s="0" t="n">
        <v>17.37356</v>
      </c>
      <c r="R39" s="0" t="n">
        <v>16.86568</v>
      </c>
      <c r="S39" s="0" t="n">
        <v>16.61554</v>
      </c>
      <c r="T39" s="0" t="n">
        <v>15.90134</v>
      </c>
      <c r="U39" s="0" t="n">
        <v>16.18152</v>
      </c>
      <c r="V39" s="8" t="n">
        <v>17.09455</v>
      </c>
      <c r="W39" s="9" t="n">
        <v>16.94478</v>
      </c>
      <c r="X39" s="9" t="n">
        <v>17.01214</v>
      </c>
      <c r="Y39" s="9" t="n">
        <v>16.7761</v>
      </c>
      <c r="Z39" s="9" t="n">
        <v>16.54498</v>
      </c>
      <c r="AA39" s="9" t="n">
        <v>15.76464</v>
      </c>
      <c r="AB39" s="10" t="n">
        <v>17.46826</v>
      </c>
    </row>
    <row r="40" customFormat="false" ht="13.8" hidden="false" customHeight="false" outlineLevel="0" collapsed="false">
      <c r="A40" s="0" t="s">
        <v>431</v>
      </c>
      <c r="B40" s="8" t="n">
        <v>15.564</v>
      </c>
      <c r="C40" s="9" t="n">
        <v>16.47028</v>
      </c>
      <c r="D40" s="9" t="n">
        <v>17.44682</v>
      </c>
      <c r="E40" s="9" t="n">
        <v>14.44664</v>
      </c>
      <c r="F40" s="9" t="n">
        <v>16.25058</v>
      </c>
      <c r="G40" s="9" t="n">
        <v>14.18255</v>
      </c>
      <c r="H40" s="10" t="n">
        <v>14.63441</v>
      </c>
      <c r="I40" s="0" t="n">
        <v>16.77841</v>
      </c>
      <c r="J40" s="0" t="n">
        <v>15.94854</v>
      </c>
      <c r="K40" s="0" t="n">
        <v>13.98648</v>
      </c>
      <c r="L40" s="0" t="n">
        <v>17.60104</v>
      </c>
      <c r="M40" s="0" t="n">
        <v>13.44255</v>
      </c>
      <c r="N40" s="0" t="n">
        <v>18.21409</v>
      </c>
      <c r="O40" s="0" t="n">
        <v>16.17483</v>
      </c>
      <c r="P40" s="0" t="n">
        <v>14.15474</v>
      </c>
      <c r="Q40" s="0" t="n">
        <v>17.50603</v>
      </c>
      <c r="R40" s="0" t="n">
        <v>16.65704</v>
      </c>
      <c r="S40" s="0" t="n">
        <v>16.23195</v>
      </c>
      <c r="T40" s="0" t="n">
        <v>16.56483</v>
      </c>
      <c r="U40" s="0" t="n">
        <v>15.38104</v>
      </c>
      <c r="V40" s="8" t="n">
        <v>16.38083</v>
      </c>
      <c r="W40" s="9" t="n">
        <v>15.64982</v>
      </c>
      <c r="X40" s="9" t="n">
        <v>17.63261</v>
      </c>
      <c r="Y40" s="9" t="n">
        <v>18.0426</v>
      </c>
      <c r="Z40" s="9" t="n">
        <v>17.98776</v>
      </c>
      <c r="AA40" s="9" t="n">
        <v>14.7754</v>
      </c>
      <c r="AB40" s="10" t="n">
        <v>18.0358</v>
      </c>
    </row>
    <row r="41" customFormat="false" ht="13.8" hidden="false" customHeight="false" outlineLevel="0" collapsed="false">
      <c r="A41" s="0" t="s">
        <v>434</v>
      </c>
      <c r="B41" s="8" t="n">
        <v>20.80507</v>
      </c>
      <c r="C41" s="9" t="n">
        <v>20.7032</v>
      </c>
      <c r="D41" s="9" t="n">
        <v>22.26674</v>
      </c>
      <c r="E41" s="9" t="n">
        <v>20.40114</v>
      </c>
      <c r="F41" s="9" t="n">
        <v>20.80357</v>
      </c>
      <c r="G41" s="9" t="n">
        <v>21.69353</v>
      </c>
      <c r="H41" s="10" t="n">
        <v>21.16681</v>
      </c>
      <c r="I41" s="0" t="n">
        <v>21.48015</v>
      </c>
      <c r="J41" s="0" t="n">
        <v>20.57228</v>
      </c>
      <c r="K41" s="0" t="n">
        <v>19.64938</v>
      </c>
      <c r="L41" s="0" t="n">
        <v>16.39241</v>
      </c>
      <c r="M41" s="0" t="n">
        <v>20.02134</v>
      </c>
      <c r="N41" s="0" t="n">
        <v>20.53022</v>
      </c>
      <c r="O41" s="0" t="n">
        <v>22.6685</v>
      </c>
      <c r="P41" s="0" t="n">
        <v>21.48035</v>
      </c>
      <c r="Q41" s="0" t="n">
        <v>21.58252</v>
      </c>
      <c r="R41" s="0" t="n">
        <v>21.46628</v>
      </c>
      <c r="S41" s="0" t="n">
        <v>21.05457</v>
      </c>
      <c r="T41" s="0" t="n">
        <v>21.45904</v>
      </c>
      <c r="U41" s="0" t="n">
        <v>21.63763</v>
      </c>
      <c r="V41" s="8" t="n">
        <v>21.73698</v>
      </c>
      <c r="W41" s="9" t="n">
        <v>21.48089</v>
      </c>
      <c r="X41" s="9" t="n">
        <v>21.93297</v>
      </c>
      <c r="Y41" s="9" t="n">
        <v>21.4207</v>
      </c>
      <c r="Z41" s="9" t="n">
        <v>21.83341</v>
      </c>
      <c r="AA41" s="9" t="n">
        <v>21.2447</v>
      </c>
      <c r="AB41" s="10" t="n">
        <v>22.00577</v>
      </c>
    </row>
    <row r="42" customFormat="false" ht="13.8" hidden="false" customHeight="false" outlineLevel="0" collapsed="false">
      <c r="A42" s="0" t="s">
        <v>545</v>
      </c>
      <c r="B42" s="8" t="n">
        <v>18.36765</v>
      </c>
      <c r="C42" s="9" t="n">
        <v>19.0047</v>
      </c>
      <c r="D42" s="9" t="n">
        <v>16.93535</v>
      </c>
      <c r="E42" s="9" t="n">
        <v>19.05844</v>
      </c>
      <c r="F42" s="9" t="n">
        <v>18.90098</v>
      </c>
      <c r="G42" s="9" t="n">
        <v>19.43017</v>
      </c>
      <c r="H42" s="10" t="n">
        <v>18.28211</v>
      </c>
      <c r="I42" s="0" t="n">
        <v>18.67024</v>
      </c>
      <c r="J42" s="0" t="n">
        <v>17.82532</v>
      </c>
      <c r="K42" s="0" t="n">
        <v>17.42571</v>
      </c>
      <c r="L42" s="0" t="n">
        <v>15.8977</v>
      </c>
      <c r="M42" s="0" t="n">
        <v>19.78202</v>
      </c>
      <c r="N42" s="0" t="n">
        <v>19.32479</v>
      </c>
      <c r="O42" s="0" t="n">
        <v>19.24546</v>
      </c>
      <c r="P42" s="0" t="n">
        <v>19.61949</v>
      </c>
      <c r="Q42" s="0" t="n">
        <v>18.74324</v>
      </c>
      <c r="R42" s="0" t="n">
        <v>19.61901</v>
      </c>
      <c r="S42" s="0" t="n">
        <v>18.90894</v>
      </c>
      <c r="T42" s="0" t="n">
        <v>18.99333</v>
      </c>
      <c r="U42" s="0" t="n">
        <v>19.25082</v>
      </c>
      <c r="V42" s="8" t="n">
        <v>18.33001</v>
      </c>
      <c r="W42" s="9" t="n">
        <v>18.07953</v>
      </c>
      <c r="X42" s="9" t="n">
        <v>19.31893</v>
      </c>
      <c r="Y42" s="9" t="n">
        <v>20.22247</v>
      </c>
      <c r="Z42" s="9" t="n">
        <v>20.15894</v>
      </c>
      <c r="AA42" s="9" t="n">
        <v>19.80303</v>
      </c>
      <c r="AB42" s="10" t="n">
        <v>19.91963</v>
      </c>
    </row>
    <row r="43" customFormat="false" ht="13.8" hidden="false" customHeight="false" outlineLevel="0" collapsed="false">
      <c r="A43" s="0" t="s">
        <v>160</v>
      </c>
      <c r="B43" s="8" t="n">
        <v>15.03391</v>
      </c>
      <c r="C43" s="9" t="n">
        <v>16.89676</v>
      </c>
      <c r="D43" s="9" t="n">
        <v>15.35416</v>
      </c>
      <c r="E43" s="9" t="n">
        <v>13.59322</v>
      </c>
      <c r="F43" s="9" t="n">
        <v>16.60091</v>
      </c>
      <c r="G43" s="9" t="n">
        <v>15.79736</v>
      </c>
      <c r="H43" s="10" t="n">
        <v>15.60226</v>
      </c>
      <c r="I43" s="0" t="n">
        <v>16.10928</v>
      </c>
      <c r="J43" s="0" t="n">
        <v>12.14114</v>
      </c>
      <c r="K43" s="0" t="n">
        <v>16.56764</v>
      </c>
      <c r="L43" s="0" t="n">
        <v>17.47359</v>
      </c>
      <c r="M43" s="0" t="n">
        <v>16.26984</v>
      </c>
      <c r="N43" s="0" t="n">
        <v>16.56385</v>
      </c>
      <c r="O43" s="0" t="n">
        <v>15.01899</v>
      </c>
      <c r="P43" s="0" t="n">
        <v>16.38093</v>
      </c>
      <c r="Q43" s="0" t="n">
        <v>16.40163</v>
      </c>
      <c r="R43" s="0" t="n">
        <v>16.85757</v>
      </c>
      <c r="S43" s="0" t="n">
        <v>16.51032</v>
      </c>
      <c r="T43" s="0" t="n">
        <v>16.7349</v>
      </c>
      <c r="U43" s="0" t="n">
        <v>16.10852</v>
      </c>
      <c r="V43" s="8" t="n">
        <v>15.92003</v>
      </c>
      <c r="W43" s="9" t="n">
        <v>16.25344</v>
      </c>
      <c r="X43" s="9" t="n">
        <v>15.77895</v>
      </c>
      <c r="Y43" s="9" t="n">
        <v>17.24079</v>
      </c>
      <c r="Z43" s="9" t="n">
        <v>17.32895</v>
      </c>
      <c r="AA43" s="9" t="n">
        <v>15.79847</v>
      </c>
      <c r="AB43" s="10" t="n">
        <v>16.8825</v>
      </c>
    </row>
    <row r="44" customFormat="false" ht="13.8" hidden="false" customHeight="false" outlineLevel="0" collapsed="false">
      <c r="A44" s="0" t="s">
        <v>208</v>
      </c>
      <c r="B44" s="8" t="n">
        <v>20.38469</v>
      </c>
      <c r="C44" s="9" t="n">
        <v>20.34906</v>
      </c>
      <c r="D44" s="9" t="n">
        <v>21.1045</v>
      </c>
      <c r="E44" s="9" t="n">
        <v>20.23888</v>
      </c>
      <c r="F44" s="9" t="n">
        <v>20.6747</v>
      </c>
      <c r="G44" s="9" t="n">
        <v>20.55618</v>
      </c>
      <c r="H44" s="10" t="n">
        <v>20.46971</v>
      </c>
      <c r="I44" s="0" t="n">
        <v>20.87433</v>
      </c>
      <c r="J44" s="0" t="n">
        <v>21.43365</v>
      </c>
      <c r="K44" s="0" t="n">
        <v>20.7376</v>
      </c>
      <c r="L44" s="0" t="n">
        <v>16.87171</v>
      </c>
      <c r="M44" s="0" t="n">
        <v>19.78668</v>
      </c>
      <c r="N44" s="0" t="n">
        <v>20.32828</v>
      </c>
      <c r="O44" s="0" t="n">
        <v>21.94203</v>
      </c>
      <c r="P44" s="0" t="n">
        <v>20.6926</v>
      </c>
      <c r="Q44" s="0" t="n">
        <v>20.07169</v>
      </c>
      <c r="R44" s="0" t="n">
        <v>20.78517</v>
      </c>
      <c r="S44" s="0" t="n">
        <v>20.72509</v>
      </c>
      <c r="T44" s="0" t="n">
        <v>20.64253</v>
      </c>
      <c r="U44" s="0" t="n">
        <v>20.84491</v>
      </c>
      <c r="V44" s="8" t="n">
        <v>21.05019</v>
      </c>
      <c r="W44" s="9" t="n">
        <v>20.47833</v>
      </c>
      <c r="X44" s="9" t="n">
        <v>21.41823</v>
      </c>
      <c r="Y44" s="9" t="n">
        <v>20.98545</v>
      </c>
      <c r="Z44" s="9" t="n">
        <v>21.12528</v>
      </c>
      <c r="AA44" s="9" t="n">
        <v>20.94421</v>
      </c>
      <c r="AB44" s="10" t="n">
        <v>20.60277</v>
      </c>
    </row>
    <row r="45" customFormat="false" ht="13.8" hidden="false" customHeight="false" outlineLevel="0" collapsed="false">
      <c r="A45" s="0" t="s">
        <v>346</v>
      </c>
      <c r="B45" s="8" t="n">
        <v>21.77471</v>
      </c>
      <c r="C45" s="9" t="n">
        <v>21.30975</v>
      </c>
      <c r="D45" s="9" t="n">
        <v>18.8065</v>
      </c>
      <c r="E45" s="9" t="n">
        <v>21.0357</v>
      </c>
      <c r="F45" s="9" t="n">
        <v>20.91342</v>
      </c>
      <c r="G45" s="9" t="n">
        <v>22.11197</v>
      </c>
      <c r="H45" s="10" t="n">
        <v>21.82159</v>
      </c>
      <c r="I45" s="0" t="n">
        <v>22.5855</v>
      </c>
      <c r="J45" s="0" t="n">
        <v>21.0436</v>
      </c>
      <c r="K45" s="0" t="n">
        <v>21.86318</v>
      </c>
      <c r="L45" s="0" t="n">
        <v>16.90912</v>
      </c>
      <c r="M45" s="0" t="n">
        <v>21.80821</v>
      </c>
      <c r="N45" s="0" t="n">
        <v>22.72621</v>
      </c>
      <c r="O45" s="0" t="n">
        <v>22.3315</v>
      </c>
      <c r="P45" s="0" t="n">
        <v>20.94213</v>
      </c>
      <c r="Q45" s="0" t="n">
        <v>21.90224</v>
      </c>
      <c r="R45" s="0" t="n">
        <v>22.26029</v>
      </c>
      <c r="S45" s="0" t="n">
        <v>22.16082</v>
      </c>
      <c r="T45" s="0" t="n">
        <v>21.39074</v>
      </c>
      <c r="U45" s="0" t="n">
        <v>21.36014</v>
      </c>
      <c r="V45" s="8" t="n">
        <v>21.64192</v>
      </c>
      <c r="W45" s="9" t="n">
        <v>22.07297</v>
      </c>
      <c r="X45" s="9" t="n">
        <v>22.19484</v>
      </c>
      <c r="Y45" s="9" t="n">
        <v>21.88383</v>
      </c>
      <c r="Z45" s="9" t="n">
        <v>22.1061</v>
      </c>
      <c r="AA45" s="9" t="n">
        <v>21.74016</v>
      </c>
      <c r="AB45" s="10" t="n">
        <v>22.62344</v>
      </c>
    </row>
  </sheetData>
  <mergeCells count="3">
    <mergeCell ref="B1:H1"/>
    <mergeCell ref="I1:U1"/>
    <mergeCell ref="V1:AB1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K6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F28" activeCellId="0" sqref="F28"/>
    </sheetView>
  </sheetViews>
  <sheetFormatPr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.71"/>
    <col collapsed="false" customWidth="true" hidden="false" outlineLevel="0" max="3" min="3" style="0" width="15.85"/>
    <col collapsed="false" customWidth="true" hidden="false" outlineLevel="0" max="4" min="4" style="14" width="17.71"/>
    <col collapsed="false" customWidth="true" hidden="false" outlineLevel="0" max="5" min="5" style="14" width="22.15"/>
    <col collapsed="false" customWidth="true" hidden="false" outlineLevel="0" max="6" min="6" style="14" width="22.71"/>
    <col collapsed="false" customWidth="true" hidden="false" outlineLevel="0" max="1025" min="7" style="0" width="8.53"/>
  </cols>
  <sheetData>
    <row r="2" s="16" customFormat="true" ht="30" hidden="false" customHeight="false" outlineLevel="0" collapsed="false">
      <c r="A2" s="1" t="s">
        <v>47</v>
      </c>
      <c r="B2" s="1" t="s">
        <v>45</v>
      </c>
      <c r="C2" s="1" t="s">
        <v>46</v>
      </c>
      <c r="D2" s="15" t="s">
        <v>546</v>
      </c>
      <c r="E2" s="15" t="s">
        <v>546</v>
      </c>
      <c r="F2" s="15" t="s">
        <v>546</v>
      </c>
    </row>
    <row r="3" s="18" customFormat="true" ht="15" hidden="false" customHeight="false" outlineLevel="0" collapsed="false">
      <c r="A3" s="17" t="s">
        <v>288</v>
      </c>
      <c r="B3" s="18" t="s">
        <v>547</v>
      </c>
      <c r="C3" s="18" t="s">
        <v>534</v>
      </c>
      <c r="D3" s="14" t="s">
        <v>548</v>
      </c>
      <c r="E3" s="14" t="s">
        <v>549</v>
      </c>
      <c r="F3" s="14" t="s">
        <v>550</v>
      </c>
      <c r="G3" s="19"/>
      <c r="H3" s="19"/>
      <c r="I3" s="20"/>
      <c r="J3" s="19"/>
      <c r="K3" s="21"/>
    </row>
    <row r="4" customFormat="false" ht="15" hidden="false" customHeight="false" outlineLevel="0" collapsed="false">
      <c r="A4" s="0" t="s">
        <v>370</v>
      </c>
      <c r="B4" s="0" t="s">
        <v>551</v>
      </c>
      <c r="C4" s="0" t="s">
        <v>541</v>
      </c>
      <c r="D4" s="14" t="s">
        <v>548</v>
      </c>
      <c r="E4" s="14" t="s">
        <v>552</v>
      </c>
      <c r="F4" s="14" t="s">
        <v>553</v>
      </c>
      <c r="G4" s="22"/>
      <c r="H4" s="22"/>
      <c r="I4" s="14"/>
      <c r="J4" s="22"/>
      <c r="K4" s="23"/>
    </row>
    <row r="5" customFormat="false" ht="15" hidden="false" customHeight="false" outlineLevel="0" collapsed="false">
      <c r="A5" s="0" t="s">
        <v>405</v>
      </c>
      <c r="B5" s="0" t="s">
        <v>554</v>
      </c>
      <c r="C5" s="0" t="s">
        <v>404</v>
      </c>
      <c r="D5" s="14" t="s">
        <v>555</v>
      </c>
      <c r="G5" s="22"/>
      <c r="H5" s="22"/>
      <c r="I5" s="14"/>
      <c r="J5" s="22"/>
      <c r="K5" s="23"/>
    </row>
    <row r="6" customFormat="false" ht="15" hidden="false" customHeight="false" outlineLevel="0" collapsed="false">
      <c r="A6" s="0" t="s">
        <v>270</v>
      </c>
      <c r="B6" s="0" t="s">
        <v>268</v>
      </c>
      <c r="C6" s="0" t="s">
        <v>525</v>
      </c>
      <c r="D6" s="14" t="s">
        <v>555</v>
      </c>
      <c r="G6" s="22"/>
      <c r="H6" s="22"/>
      <c r="I6" s="14"/>
      <c r="J6" s="22"/>
      <c r="K6" s="23"/>
    </row>
    <row r="7" customFormat="false" ht="15" hidden="false" customHeight="false" outlineLevel="0" collapsed="false">
      <c r="A7" s="0" t="s">
        <v>358</v>
      </c>
      <c r="B7" s="0" t="s">
        <v>356</v>
      </c>
      <c r="C7" s="0" t="s">
        <v>357</v>
      </c>
      <c r="D7" s="14" t="s">
        <v>555</v>
      </c>
      <c r="G7" s="22"/>
      <c r="H7" s="22"/>
      <c r="I7" s="14"/>
      <c r="J7" s="22"/>
      <c r="K7" s="23"/>
    </row>
    <row r="8" customFormat="false" ht="15" hidden="false" customHeight="false" outlineLevel="0" collapsed="false">
      <c r="A8" s="0" t="s">
        <v>120</v>
      </c>
      <c r="B8" s="0" t="s">
        <v>556</v>
      </c>
      <c r="C8" s="0" t="s">
        <v>526</v>
      </c>
      <c r="D8" s="14" t="s">
        <v>555</v>
      </c>
      <c r="E8" s="14" t="s">
        <v>549</v>
      </c>
      <c r="F8" s="14" t="s">
        <v>557</v>
      </c>
      <c r="G8" s="22"/>
      <c r="H8" s="22"/>
      <c r="I8" s="14"/>
      <c r="J8" s="22"/>
      <c r="K8" s="23"/>
    </row>
    <row r="9" customFormat="false" ht="15" hidden="false" customHeight="false" outlineLevel="0" collapsed="false">
      <c r="A9" s="0" t="s">
        <v>267</v>
      </c>
      <c r="B9" s="0" t="s">
        <v>558</v>
      </c>
      <c r="C9" s="0" t="s">
        <v>527</v>
      </c>
      <c r="D9" s="14" t="s">
        <v>555</v>
      </c>
      <c r="E9" s="14" t="s">
        <v>553</v>
      </c>
      <c r="F9" s="14" t="s">
        <v>559</v>
      </c>
      <c r="G9" s="22"/>
      <c r="H9" s="22"/>
      <c r="I9" s="14"/>
      <c r="J9" s="22"/>
      <c r="K9" s="23"/>
    </row>
    <row r="10" customFormat="false" ht="15" hidden="false" customHeight="false" outlineLevel="0" collapsed="false">
      <c r="A10" s="0" t="s">
        <v>313</v>
      </c>
      <c r="B10" s="0" t="s">
        <v>311</v>
      </c>
      <c r="C10" s="0" t="s">
        <v>528</v>
      </c>
      <c r="D10" s="14" t="s">
        <v>555</v>
      </c>
      <c r="E10" s="14" t="s">
        <v>560</v>
      </c>
      <c r="F10" s="14" t="s">
        <v>561</v>
      </c>
      <c r="G10" s="22"/>
      <c r="H10" s="22"/>
      <c r="I10" s="14"/>
      <c r="J10" s="22"/>
      <c r="K10" s="23"/>
    </row>
    <row r="11" customFormat="false" ht="15" hidden="false" customHeight="false" outlineLevel="0" collapsed="false">
      <c r="A11" s="0" t="s">
        <v>457</v>
      </c>
      <c r="B11" s="0" t="s">
        <v>455</v>
      </c>
      <c r="C11" s="0" t="s">
        <v>456</v>
      </c>
      <c r="D11" s="14" t="s">
        <v>555</v>
      </c>
      <c r="G11" s="22"/>
      <c r="H11" s="22"/>
      <c r="I11" s="14"/>
      <c r="J11" s="22"/>
      <c r="K11" s="23"/>
    </row>
    <row r="12" customFormat="false" ht="15" hidden="false" customHeight="false" outlineLevel="0" collapsed="false">
      <c r="A12" s="0" t="s">
        <v>181</v>
      </c>
      <c r="B12" s="0" t="s">
        <v>562</v>
      </c>
      <c r="C12" s="0" t="s">
        <v>529</v>
      </c>
      <c r="D12" s="14" t="s">
        <v>555</v>
      </c>
      <c r="E12" s="14" t="s">
        <v>560</v>
      </c>
      <c r="G12" s="22"/>
      <c r="H12" s="22"/>
      <c r="I12" s="14"/>
      <c r="J12" s="22"/>
      <c r="K12" s="23"/>
    </row>
    <row r="13" customFormat="false" ht="15" hidden="false" customHeight="false" outlineLevel="0" collapsed="false">
      <c r="A13" s="0" t="s">
        <v>74</v>
      </c>
      <c r="B13" s="0" t="s">
        <v>563</v>
      </c>
      <c r="C13" s="0" t="s">
        <v>530</v>
      </c>
      <c r="D13" s="14" t="s">
        <v>555</v>
      </c>
      <c r="E13" s="14" t="s">
        <v>557</v>
      </c>
      <c r="G13" s="22"/>
      <c r="H13" s="22"/>
      <c r="I13" s="14"/>
      <c r="J13" s="22"/>
      <c r="K13" s="23"/>
    </row>
    <row r="14" customFormat="false" ht="15" hidden="false" customHeight="false" outlineLevel="0" collapsed="false">
      <c r="A14" s="0" t="s">
        <v>366</v>
      </c>
      <c r="B14" s="0" t="s">
        <v>364</v>
      </c>
      <c r="C14" s="0" t="s">
        <v>365</v>
      </c>
      <c r="D14" s="14" t="s">
        <v>555</v>
      </c>
      <c r="E14" s="14" t="s">
        <v>553</v>
      </c>
      <c r="G14" s="22"/>
      <c r="H14" s="22"/>
      <c r="I14" s="14"/>
      <c r="J14" s="22"/>
      <c r="K14" s="23"/>
    </row>
    <row r="15" customFormat="false" ht="15" hidden="false" customHeight="false" outlineLevel="0" collapsed="false">
      <c r="A15" s="0" t="s">
        <v>214</v>
      </c>
      <c r="B15" s="0" t="s">
        <v>564</v>
      </c>
      <c r="C15" s="0" t="s">
        <v>531</v>
      </c>
      <c r="D15" s="14" t="s">
        <v>555</v>
      </c>
      <c r="E15" s="14" t="s">
        <v>553</v>
      </c>
      <c r="F15" s="14" t="s">
        <v>565</v>
      </c>
      <c r="G15" s="22"/>
      <c r="H15" s="22"/>
      <c r="I15" s="14"/>
      <c r="J15" s="22"/>
      <c r="K15" s="23"/>
    </row>
    <row r="16" customFormat="false" ht="15" hidden="false" customHeight="false" outlineLevel="0" collapsed="false">
      <c r="A16" s="0" t="s">
        <v>258</v>
      </c>
      <c r="B16" s="0" t="s">
        <v>566</v>
      </c>
      <c r="C16" s="0" t="s">
        <v>532</v>
      </c>
      <c r="D16" s="14" t="s">
        <v>555</v>
      </c>
      <c r="E16" s="14" t="s">
        <v>560</v>
      </c>
      <c r="F16" s="14" t="s">
        <v>549</v>
      </c>
      <c r="G16" s="22"/>
      <c r="H16" s="22"/>
      <c r="I16" s="14"/>
      <c r="J16" s="22"/>
      <c r="K16" s="23"/>
    </row>
    <row r="17" customFormat="false" ht="15" hidden="false" customHeight="false" outlineLevel="0" collapsed="false">
      <c r="A17" s="0" t="s">
        <v>379</v>
      </c>
      <c r="B17" s="0" t="s">
        <v>567</v>
      </c>
      <c r="C17" s="0" t="s">
        <v>378</v>
      </c>
      <c r="D17" s="14" t="s">
        <v>555</v>
      </c>
      <c r="E17" s="14" t="s">
        <v>549</v>
      </c>
      <c r="F17" s="14" t="s">
        <v>553</v>
      </c>
      <c r="G17" s="22"/>
      <c r="H17" s="22"/>
      <c r="I17" s="14"/>
      <c r="J17" s="22"/>
      <c r="K17" s="23"/>
    </row>
    <row r="18" customFormat="false" ht="15" hidden="false" customHeight="false" outlineLevel="0" collapsed="false">
      <c r="A18" s="0" t="s">
        <v>303</v>
      </c>
      <c r="B18" s="0" t="s">
        <v>568</v>
      </c>
      <c r="C18" s="0" t="s">
        <v>533</v>
      </c>
      <c r="D18" s="14" t="s">
        <v>555</v>
      </c>
      <c r="E18" s="14" t="s">
        <v>553</v>
      </c>
      <c r="F18" s="14" t="s">
        <v>565</v>
      </c>
      <c r="G18" s="22"/>
      <c r="H18" s="22"/>
      <c r="I18" s="14"/>
      <c r="J18" s="22"/>
      <c r="K18" s="23"/>
    </row>
    <row r="19" customFormat="false" ht="15" hidden="false" customHeight="false" outlineLevel="0" collapsed="false">
      <c r="A19" s="0" t="s">
        <v>127</v>
      </c>
      <c r="B19" s="0" t="s">
        <v>569</v>
      </c>
      <c r="C19" s="0" t="s">
        <v>126</v>
      </c>
      <c r="D19" s="14" t="s">
        <v>555</v>
      </c>
      <c r="E19" s="14" t="s">
        <v>553</v>
      </c>
      <c r="F19" s="14" t="s">
        <v>560</v>
      </c>
      <c r="G19" s="22"/>
      <c r="H19" s="22"/>
      <c r="I19" s="14"/>
      <c r="J19" s="22"/>
      <c r="K19" s="23"/>
    </row>
    <row r="20" customFormat="false" ht="15" hidden="false" customHeight="false" outlineLevel="0" collapsed="false">
      <c r="A20" s="0" t="s">
        <v>374</v>
      </c>
      <c r="B20" s="0" t="s">
        <v>372</v>
      </c>
      <c r="C20" s="0" t="s">
        <v>373</v>
      </c>
      <c r="D20" s="14" t="s">
        <v>555</v>
      </c>
      <c r="E20" s="14" t="s">
        <v>560</v>
      </c>
      <c r="F20" s="14" t="s">
        <v>553</v>
      </c>
      <c r="G20" s="22"/>
      <c r="H20" s="22"/>
      <c r="I20" s="14"/>
      <c r="J20" s="22"/>
      <c r="K20" s="23"/>
    </row>
    <row r="21" customFormat="false" ht="15" hidden="false" customHeight="false" outlineLevel="0" collapsed="false">
      <c r="A21" s="0" t="s">
        <v>176</v>
      </c>
      <c r="B21" s="0" t="s">
        <v>570</v>
      </c>
      <c r="C21" s="0" t="s">
        <v>535</v>
      </c>
      <c r="D21" s="14" t="s">
        <v>555</v>
      </c>
      <c r="E21" s="14" t="s">
        <v>549</v>
      </c>
      <c r="F21" s="14" t="s">
        <v>553</v>
      </c>
      <c r="G21" s="22"/>
      <c r="H21" s="22"/>
      <c r="I21" s="14"/>
      <c r="J21" s="22"/>
      <c r="K21" s="23"/>
    </row>
    <row r="22" customFormat="false" ht="15" hidden="false" customHeight="false" outlineLevel="0" collapsed="false">
      <c r="A22" s="0" t="s">
        <v>299</v>
      </c>
      <c r="B22" s="0" t="s">
        <v>297</v>
      </c>
      <c r="C22" s="0" t="s">
        <v>298</v>
      </c>
      <c r="D22" s="14" t="s">
        <v>555</v>
      </c>
      <c r="G22" s="22"/>
      <c r="H22" s="22"/>
      <c r="I22" s="14"/>
      <c r="J22" s="22"/>
      <c r="K22" s="23"/>
    </row>
    <row r="23" customFormat="false" ht="15" hidden="false" customHeight="false" outlineLevel="0" collapsed="false">
      <c r="A23" s="0" t="s">
        <v>397</v>
      </c>
      <c r="B23" s="0" t="s">
        <v>395</v>
      </c>
      <c r="C23" s="0" t="s">
        <v>396</v>
      </c>
      <c r="D23" s="14" t="s">
        <v>555</v>
      </c>
      <c r="E23" s="14" t="s">
        <v>549</v>
      </c>
      <c r="G23" s="22"/>
      <c r="H23" s="22"/>
      <c r="I23" s="14"/>
      <c r="J23" s="22"/>
      <c r="K23" s="23"/>
    </row>
    <row r="24" customFormat="false" ht="15" hidden="false" customHeight="false" outlineLevel="0" collapsed="false">
      <c r="A24" s="0" t="s">
        <v>188</v>
      </c>
      <c r="B24" s="0" t="s">
        <v>571</v>
      </c>
      <c r="C24" s="0" t="s">
        <v>187</v>
      </c>
      <c r="D24" s="14" t="s">
        <v>555</v>
      </c>
      <c r="G24" s="22"/>
      <c r="H24" s="22"/>
      <c r="I24" s="14"/>
      <c r="J24" s="22"/>
      <c r="K24" s="23"/>
    </row>
    <row r="25" customFormat="false" ht="15" hidden="false" customHeight="false" outlineLevel="0" collapsed="false">
      <c r="A25" s="17" t="s">
        <v>355</v>
      </c>
      <c r="B25" s="0" t="s">
        <v>572</v>
      </c>
      <c r="C25" s="0" t="s">
        <v>354</v>
      </c>
      <c r="D25" s="14" t="s">
        <v>555</v>
      </c>
      <c r="G25" s="22"/>
      <c r="H25" s="22"/>
      <c r="I25" s="14"/>
      <c r="J25" s="22"/>
      <c r="K25" s="23"/>
    </row>
    <row r="26" customFormat="false" ht="15" hidden="false" customHeight="false" outlineLevel="0" collapsed="false">
      <c r="A26" s="0" t="s">
        <v>449</v>
      </c>
      <c r="B26" s="0" t="s">
        <v>573</v>
      </c>
      <c r="C26" s="0" t="s">
        <v>448</v>
      </c>
      <c r="D26" s="14" t="s">
        <v>555</v>
      </c>
      <c r="E26" s="14" t="s">
        <v>549</v>
      </c>
      <c r="G26" s="22"/>
      <c r="H26" s="22"/>
      <c r="I26" s="14"/>
      <c r="J26" s="22"/>
      <c r="K26" s="23"/>
    </row>
    <row r="27" customFormat="false" ht="15" hidden="false" customHeight="false" outlineLevel="0" collapsed="false">
      <c r="A27" s="0" t="s">
        <v>323</v>
      </c>
      <c r="B27" s="0" t="s">
        <v>574</v>
      </c>
      <c r="C27" s="0" t="s">
        <v>322</v>
      </c>
      <c r="D27" s="14" t="s">
        <v>555</v>
      </c>
      <c r="E27" s="14" t="s">
        <v>575</v>
      </c>
      <c r="F27" s="14" t="s">
        <v>560</v>
      </c>
      <c r="G27" s="22"/>
      <c r="H27" s="22"/>
      <c r="I27" s="14"/>
      <c r="J27" s="22"/>
      <c r="K27" s="23"/>
    </row>
    <row r="28" customFormat="false" ht="15" hidden="false" customHeight="false" outlineLevel="0" collapsed="false">
      <c r="A28" s="0" t="s">
        <v>389</v>
      </c>
      <c r="B28" s="0" t="s">
        <v>387</v>
      </c>
      <c r="C28" s="0" t="s">
        <v>388</v>
      </c>
      <c r="D28" s="14" t="s">
        <v>555</v>
      </c>
      <c r="E28" s="14" t="s">
        <v>549</v>
      </c>
      <c r="G28" s="22"/>
      <c r="H28" s="22"/>
      <c r="I28" s="14"/>
      <c r="J28" s="22"/>
      <c r="K28" s="23"/>
    </row>
    <row r="29" customFormat="false" ht="15" hidden="false" customHeight="false" outlineLevel="0" collapsed="false">
      <c r="A29" s="0" t="s">
        <v>576</v>
      </c>
      <c r="B29" s="0" t="s">
        <v>577</v>
      </c>
      <c r="C29" s="0" t="s">
        <v>538</v>
      </c>
      <c r="D29" s="14" t="s">
        <v>555</v>
      </c>
      <c r="G29" s="22"/>
      <c r="H29" s="22"/>
      <c r="I29" s="14"/>
      <c r="J29" s="22"/>
      <c r="K29" s="23"/>
    </row>
    <row r="30" customFormat="false" ht="15" hidden="false" customHeight="false" outlineLevel="0" collapsed="false">
      <c r="A30" s="0" t="s">
        <v>139</v>
      </c>
      <c r="B30" s="0" t="s">
        <v>578</v>
      </c>
      <c r="C30" s="0" t="s">
        <v>539</v>
      </c>
      <c r="D30" s="14" t="s">
        <v>555</v>
      </c>
      <c r="G30" s="22"/>
      <c r="H30" s="22"/>
      <c r="I30" s="14"/>
      <c r="J30" s="22"/>
      <c r="K30" s="23"/>
    </row>
    <row r="31" customFormat="false" ht="15" hidden="false" customHeight="false" outlineLevel="0" collapsed="false">
      <c r="A31" s="17" t="s">
        <v>423</v>
      </c>
      <c r="B31" s="0" t="s">
        <v>579</v>
      </c>
      <c r="C31" s="0" t="s">
        <v>540</v>
      </c>
      <c r="D31" s="14" t="s">
        <v>555</v>
      </c>
      <c r="E31" s="14" t="s">
        <v>557</v>
      </c>
      <c r="F31" s="14" t="s">
        <v>552</v>
      </c>
      <c r="G31" s="22"/>
      <c r="H31" s="22"/>
      <c r="I31" s="14"/>
      <c r="J31" s="22"/>
      <c r="K31" s="23"/>
    </row>
    <row r="32" customFormat="false" ht="15" hidden="false" customHeight="false" outlineLevel="0" collapsed="false">
      <c r="A32" s="0" t="s">
        <v>205</v>
      </c>
      <c r="B32" s="0" t="s">
        <v>203</v>
      </c>
      <c r="C32" s="0" t="s">
        <v>542</v>
      </c>
      <c r="D32" s="14" t="s">
        <v>555</v>
      </c>
      <c r="E32" s="14" t="s">
        <v>549</v>
      </c>
      <c r="F32" s="14" t="s">
        <v>553</v>
      </c>
      <c r="G32" s="22"/>
      <c r="H32" s="22"/>
      <c r="I32" s="14"/>
      <c r="J32" s="22"/>
      <c r="K32" s="23"/>
    </row>
    <row r="33" customFormat="false" ht="15" hidden="false" customHeight="false" outlineLevel="0" collapsed="false">
      <c r="A33" s="0" t="s">
        <v>165</v>
      </c>
      <c r="B33" s="0" t="s">
        <v>580</v>
      </c>
      <c r="C33" s="0" t="s">
        <v>164</v>
      </c>
      <c r="D33" s="14" t="s">
        <v>555</v>
      </c>
      <c r="G33" s="22"/>
      <c r="H33" s="22"/>
      <c r="I33" s="14"/>
      <c r="J33" s="22"/>
      <c r="K33" s="23"/>
    </row>
    <row r="34" customFormat="false" ht="15" hidden="false" customHeight="false" outlineLevel="0" collapsed="false">
      <c r="A34" s="0" t="s">
        <v>445</v>
      </c>
      <c r="B34" s="0" t="s">
        <v>581</v>
      </c>
      <c r="C34" s="0" t="s">
        <v>444</v>
      </c>
      <c r="D34" s="14" t="s">
        <v>555</v>
      </c>
      <c r="G34" s="22"/>
      <c r="H34" s="22"/>
      <c r="I34" s="14"/>
      <c r="J34" s="22"/>
      <c r="K34" s="23"/>
    </row>
    <row r="35" customFormat="false" ht="15" hidden="false" customHeight="false" outlineLevel="0" collapsed="false">
      <c r="A35" s="0" t="s">
        <v>199</v>
      </c>
      <c r="B35" s="0" t="s">
        <v>197</v>
      </c>
      <c r="C35" s="0" t="s">
        <v>544</v>
      </c>
      <c r="D35" s="14" t="s">
        <v>555</v>
      </c>
      <c r="E35" s="14" t="s">
        <v>549</v>
      </c>
      <c r="G35" s="22"/>
      <c r="H35" s="22"/>
      <c r="I35" s="14"/>
      <c r="J35" s="22"/>
      <c r="K35" s="23"/>
    </row>
    <row r="36" customFormat="false" ht="15" hidden="false" customHeight="false" outlineLevel="0" collapsed="false">
      <c r="A36" s="0" t="s">
        <v>582</v>
      </c>
      <c r="B36" s="0" t="s">
        <v>583</v>
      </c>
      <c r="C36" s="0" t="s">
        <v>584</v>
      </c>
      <c r="D36" s="14" t="s">
        <v>555</v>
      </c>
      <c r="G36" s="22"/>
      <c r="H36" s="22"/>
      <c r="I36" s="14"/>
      <c r="J36" s="22"/>
      <c r="K36" s="23"/>
    </row>
    <row r="37" customFormat="false" ht="15" hidden="false" customHeight="false" outlineLevel="0" collapsed="false">
      <c r="A37" s="0" t="s">
        <v>585</v>
      </c>
      <c r="B37" s="0" t="s">
        <v>586</v>
      </c>
      <c r="C37" s="0" t="s">
        <v>76</v>
      </c>
      <c r="D37" s="14" t="s">
        <v>555</v>
      </c>
      <c r="G37" s="22"/>
      <c r="H37" s="22"/>
      <c r="I37" s="14"/>
      <c r="J37" s="22"/>
      <c r="K37" s="23"/>
    </row>
    <row r="38" customFormat="false" ht="15" hidden="false" customHeight="false" outlineLevel="0" collapsed="false">
      <c r="A38" s="0" t="s">
        <v>109</v>
      </c>
      <c r="B38" s="0" t="s">
        <v>587</v>
      </c>
      <c r="C38" s="0" t="s">
        <v>545</v>
      </c>
      <c r="D38" s="14" t="s">
        <v>555</v>
      </c>
      <c r="E38" s="14" t="s">
        <v>588</v>
      </c>
      <c r="G38" s="22"/>
      <c r="H38" s="22"/>
      <c r="I38" s="14"/>
      <c r="J38" s="22"/>
      <c r="K38" s="23"/>
    </row>
    <row r="39" customFormat="false" ht="15" hidden="false" customHeight="false" outlineLevel="0" collapsed="false">
      <c r="A39" s="17" t="s">
        <v>161</v>
      </c>
      <c r="B39" s="0" t="s">
        <v>589</v>
      </c>
      <c r="C39" s="0" t="s">
        <v>160</v>
      </c>
      <c r="D39" s="14" t="s">
        <v>555</v>
      </c>
      <c r="G39" s="22"/>
      <c r="H39" s="22"/>
      <c r="I39" s="14"/>
      <c r="J39" s="22"/>
      <c r="K39" s="23"/>
    </row>
    <row r="40" customFormat="false" ht="15" hidden="false" customHeight="false" outlineLevel="0" collapsed="false">
      <c r="A40" s="0" t="s">
        <v>209</v>
      </c>
      <c r="B40" s="0" t="s">
        <v>207</v>
      </c>
      <c r="C40" s="0" t="s">
        <v>208</v>
      </c>
      <c r="D40" s="14" t="s">
        <v>555</v>
      </c>
      <c r="E40" s="14" t="s">
        <v>588</v>
      </c>
      <c r="F40" s="14" t="s">
        <v>590</v>
      </c>
      <c r="G40" s="22"/>
      <c r="H40" s="22"/>
      <c r="I40" s="14"/>
      <c r="J40" s="22"/>
      <c r="K40" s="23"/>
    </row>
    <row r="41" customFormat="false" ht="15" hidden="false" customHeight="false" outlineLevel="0" collapsed="false">
      <c r="A41" s="0" t="s">
        <v>347</v>
      </c>
      <c r="B41" s="0" t="s">
        <v>591</v>
      </c>
      <c r="C41" s="0" t="s">
        <v>346</v>
      </c>
      <c r="D41" s="14" t="s">
        <v>555</v>
      </c>
      <c r="E41" s="14" t="s">
        <v>588</v>
      </c>
      <c r="G41" s="22"/>
      <c r="H41" s="22"/>
      <c r="I41" s="14"/>
      <c r="J41" s="22"/>
      <c r="K41" s="23"/>
    </row>
    <row r="42" customFormat="false" ht="15" hidden="false" customHeight="false" outlineLevel="0" collapsed="false">
      <c r="A42" s="0" t="s">
        <v>435</v>
      </c>
      <c r="B42" s="0" t="s">
        <v>433</v>
      </c>
      <c r="C42" s="0" t="s">
        <v>434</v>
      </c>
      <c r="D42" s="14" t="s">
        <v>592</v>
      </c>
      <c r="E42" s="14" t="s">
        <v>561</v>
      </c>
      <c r="G42" s="22"/>
      <c r="H42" s="22"/>
      <c r="I42" s="14"/>
      <c r="J42" s="22"/>
      <c r="K42" s="23"/>
    </row>
    <row r="43" customFormat="false" ht="15" hidden="false" customHeight="false" outlineLevel="0" collapsed="false">
      <c r="A43" s="0" t="s">
        <v>432</v>
      </c>
      <c r="B43" s="0" t="s">
        <v>430</v>
      </c>
      <c r="C43" s="0" t="s">
        <v>431</v>
      </c>
      <c r="D43" s="14" t="s">
        <v>593</v>
      </c>
      <c r="E43" s="14" t="s">
        <v>594</v>
      </c>
      <c r="G43" s="22"/>
      <c r="H43" s="22"/>
      <c r="I43" s="14"/>
      <c r="J43" s="22"/>
      <c r="K43" s="23"/>
    </row>
    <row r="44" customFormat="false" ht="15" hidden="false" customHeight="false" outlineLevel="0" collapsed="false">
      <c r="A44" s="0" t="s">
        <v>337</v>
      </c>
      <c r="B44" s="0" t="s">
        <v>335</v>
      </c>
      <c r="C44" s="0" t="s">
        <v>536</v>
      </c>
      <c r="D44" s="14" t="s">
        <v>588</v>
      </c>
      <c r="E44" s="14" t="s">
        <v>595</v>
      </c>
      <c r="F44" s="14" t="s">
        <v>553</v>
      </c>
      <c r="G44" s="22"/>
      <c r="H44" s="22"/>
      <c r="I44" s="14"/>
      <c r="J44" s="22"/>
      <c r="K44" s="23"/>
    </row>
    <row r="45" customFormat="false" ht="15" hidden="false" customHeight="false" outlineLevel="0" collapsed="false">
      <c r="A45" s="0" t="s">
        <v>382</v>
      </c>
      <c r="B45" s="0" t="s">
        <v>380</v>
      </c>
      <c r="C45" s="0" t="s">
        <v>537</v>
      </c>
      <c r="D45" s="14" t="s">
        <v>588</v>
      </c>
      <c r="E45" s="14" t="s">
        <v>595</v>
      </c>
      <c r="F45" s="14" t="s">
        <v>553</v>
      </c>
      <c r="G45" s="22"/>
      <c r="H45" s="22"/>
      <c r="I45" s="14"/>
      <c r="J45" s="22"/>
      <c r="K45" s="23"/>
    </row>
    <row r="46" customFormat="false" ht="15" hidden="false" customHeight="false" outlineLevel="0" collapsed="false">
      <c r="A46" s="0" t="s">
        <v>329</v>
      </c>
      <c r="B46" s="0" t="s">
        <v>327</v>
      </c>
      <c r="C46" s="0" t="s">
        <v>328</v>
      </c>
      <c r="D46" s="14" t="s">
        <v>588</v>
      </c>
      <c r="E46" s="14" t="s">
        <v>595</v>
      </c>
      <c r="G46" s="22"/>
      <c r="H46" s="22"/>
      <c r="I46" s="14"/>
      <c r="J46" s="22"/>
      <c r="K46" s="23"/>
    </row>
    <row r="47" customFormat="false" ht="15" hidden="false" customHeight="false" outlineLevel="0" collapsed="false">
      <c r="A47" s="0" t="s">
        <v>237</v>
      </c>
      <c r="B47" s="0" t="s">
        <v>235</v>
      </c>
      <c r="C47" s="0" t="s">
        <v>543</v>
      </c>
      <c r="D47" s="14" t="s">
        <v>588</v>
      </c>
      <c r="E47" s="14" t="s">
        <v>595</v>
      </c>
      <c r="F47" s="14" t="s">
        <v>553</v>
      </c>
      <c r="G47" s="22"/>
      <c r="H47" s="22"/>
      <c r="I47" s="14"/>
      <c r="J47" s="22"/>
      <c r="K47" s="23"/>
    </row>
    <row r="48" customFormat="false" ht="15" hidden="false" customHeight="false" outlineLevel="0" collapsed="false">
      <c r="G48" s="22"/>
      <c r="H48" s="22"/>
      <c r="I48" s="14"/>
      <c r="J48" s="22"/>
      <c r="K48" s="23"/>
    </row>
    <row r="50" customFormat="false" ht="15" hidden="false" customHeight="false" outlineLevel="0" collapsed="false">
      <c r="A50" s="16" t="s">
        <v>596</v>
      </c>
    </row>
    <row r="51" customFormat="false" ht="15" hidden="false" customHeight="false" outlineLevel="0" collapsed="false">
      <c r="A51" s="0" t="n">
        <v>1</v>
      </c>
      <c r="B51" s="0" t="s">
        <v>597</v>
      </c>
      <c r="C51" s="14" t="n">
        <v>2</v>
      </c>
      <c r="D51" s="24" t="n">
        <v>0.043</v>
      </c>
      <c r="E51" s="24" t="n">
        <v>0.077</v>
      </c>
    </row>
    <row r="52" customFormat="false" ht="15" hidden="false" customHeight="false" outlineLevel="0" collapsed="false">
      <c r="A52" s="0" t="n">
        <v>2</v>
      </c>
      <c r="B52" s="0" t="s">
        <v>598</v>
      </c>
      <c r="C52" s="14" t="n">
        <v>1</v>
      </c>
      <c r="D52" s="24" t="n">
        <v>0.022</v>
      </c>
      <c r="E52" s="24" t="n">
        <v>0.038</v>
      </c>
    </row>
    <row r="53" customFormat="false" ht="15" hidden="false" customHeight="false" outlineLevel="0" collapsed="false">
      <c r="A53" s="0" t="n">
        <v>3</v>
      </c>
      <c r="B53" s="0" t="s">
        <v>599</v>
      </c>
      <c r="C53" s="14" t="n">
        <v>19</v>
      </c>
      <c r="D53" s="24" t="n">
        <v>0.413</v>
      </c>
      <c r="E53" s="24" t="n">
        <v>0.731</v>
      </c>
    </row>
    <row r="54" customFormat="false" ht="15" hidden="false" customHeight="false" outlineLevel="0" collapsed="false">
      <c r="A54" s="0" t="n">
        <v>4</v>
      </c>
      <c r="B54" s="0" t="s">
        <v>600</v>
      </c>
      <c r="C54" s="14" t="n">
        <v>4</v>
      </c>
      <c r="D54" s="24" t="n">
        <v>0.087</v>
      </c>
      <c r="E54" s="24" t="n">
        <v>0.154</v>
      </c>
    </row>
    <row r="55" customFormat="false" ht="15" hidden="false" customHeight="false" outlineLevel="0" collapsed="false">
      <c r="C55" s="25" t="n">
        <f aca="false">SUM(C51:C54)</f>
        <v>26</v>
      </c>
      <c r="D55" s="26" t="s">
        <v>601</v>
      </c>
    </row>
    <row r="57" customFormat="false" ht="15" hidden="false" customHeight="false" outlineLevel="0" collapsed="false">
      <c r="A57" s="16" t="s">
        <v>602</v>
      </c>
      <c r="B57" s="0" t="s">
        <v>56</v>
      </c>
      <c r="C57" s="0" t="s">
        <v>603</v>
      </c>
      <c r="D57" s="14" t="s">
        <v>604</v>
      </c>
    </row>
    <row r="58" customFormat="false" ht="15" hidden="false" customHeight="false" outlineLevel="0" collapsed="false">
      <c r="A58" s="0" t="s">
        <v>605</v>
      </c>
      <c r="B58" s="0" t="s">
        <v>606</v>
      </c>
      <c r="C58" s="0" t="n">
        <v>45</v>
      </c>
      <c r="D58" s="27" t="n">
        <f aca="false">100*C58/$C$66</f>
        <v>44.5544554455446</v>
      </c>
    </row>
    <row r="59" customFormat="false" ht="15" hidden="false" customHeight="false" outlineLevel="0" collapsed="false">
      <c r="A59" s="0" t="s">
        <v>607</v>
      </c>
      <c r="B59" s="0" t="s">
        <v>608</v>
      </c>
      <c r="C59" s="0" t="n">
        <v>18</v>
      </c>
      <c r="D59" s="27" t="n">
        <f aca="false">100*C59/$C$66</f>
        <v>17.8217821782178</v>
      </c>
    </row>
    <row r="60" customFormat="false" ht="15" hidden="false" customHeight="false" outlineLevel="0" collapsed="false">
      <c r="A60" s="0" t="s">
        <v>609</v>
      </c>
      <c r="B60" s="0" t="s">
        <v>610</v>
      </c>
      <c r="C60" s="0" t="n">
        <v>15</v>
      </c>
      <c r="D60" s="27" t="n">
        <f aca="false">100*C60/$C$66</f>
        <v>14.8514851485149</v>
      </c>
    </row>
    <row r="61" customFormat="false" ht="15" hidden="false" customHeight="false" outlineLevel="0" collapsed="false">
      <c r="A61" s="0" t="s">
        <v>611</v>
      </c>
      <c r="B61" s="0" t="s">
        <v>612</v>
      </c>
      <c r="C61" s="0" t="n">
        <v>7</v>
      </c>
      <c r="D61" s="27" t="n">
        <f aca="false">100*C61/$C$66</f>
        <v>6.93069306930693</v>
      </c>
    </row>
    <row r="62" customFormat="false" ht="15" hidden="false" customHeight="false" outlineLevel="0" collapsed="false">
      <c r="A62" s="0" t="s">
        <v>613</v>
      </c>
      <c r="B62" s="0" t="s">
        <v>614</v>
      </c>
      <c r="C62" s="0" t="n">
        <v>6</v>
      </c>
      <c r="D62" s="27" t="n">
        <f aca="false">100*C62/$C$66</f>
        <v>5.94059405940594</v>
      </c>
    </row>
    <row r="63" customFormat="false" ht="15" hidden="false" customHeight="false" outlineLevel="0" collapsed="false">
      <c r="A63" s="0" t="s">
        <v>615</v>
      </c>
      <c r="B63" s="0" t="s">
        <v>616</v>
      </c>
      <c r="C63" s="0" t="n">
        <v>6</v>
      </c>
      <c r="D63" s="27" t="n">
        <f aca="false">100*C63/$C$66</f>
        <v>5.94059405940594</v>
      </c>
    </row>
    <row r="64" customFormat="false" ht="15" hidden="false" customHeight="false" outlineLevel="0" collapsed="false">
      <c r="A64" s="0" t="s">
        <v>617</v>
      </c>
      <c r="B64" s="0" t="s">
        <v>618</v>
      </c>
      <c r="C64" s="0" t="n">
        <v>3</v>
      </c>
      <c r="D64" s="27" t="n">
        <f aca="false">100*C64/$C$66</f>
        <v>2.97029702970297</v>
      </c>
    </row>
    <row r="65" customFormat="false" ht="15" hidden="false" customHeight="false" outlineLevel="0" collapsed="false">
      <c r="A65" s="0" t="s">
        <v>605</v>
      </c>
      <c r="B65" s="0" t="s">
        <v>619</v>
      </c>
      <c r="C65" s="0" t="n">
        <v>1</v>
      </c>
      <c r="D65" s="27" t="n">
        <f aca="false">100*C65/$C$66</f>
        <v>0.99009900990099</v>
      </c>
    </row>
    <row r="66" customFormat="false" ht="15" hidden="false" customHeight="false" outlineLevel="0" collapsed="false">
      <c r="C66" s="0" t="n">
        <f aca="false">SUM(C58:C65)</f>
        <v>101</v>
      </c>
      <c r="D66" s="27" t="n">
        <f aca="false">SUM(D58:D65)</f>
        <v>100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B22" colorId="64" zoomScale="100" zoomScaleNormal="100" zoomScalePageLayoutView="100" workbookViewId="0">
      <selection pane="topLeft" activeCell="K42" activeCellId="0" sqref="K42"/>
    </sheetView>
  </sheetViews>
  <sheetFormatPr defaultRowHeight="15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42.14"/>
    <col collapsed="false" customWidth="true" hidden="false" outlineLevel="0" max="3" min="3" style="0" width="9.28"/>
    <col collapsed="false" customWidth="true" hidden="false" outlineLevel="0" max="4" min="4" style="0" width="8.85"/>
    <col collapsed="false" customWidth="true" hidden="false" outlineLevel="0" max="5" min="5" style="0" width="7.14"/>
    <col collapsed="false" customWidth="true" hidden="false" outlineLevel="0" max="6" min="6" style="0" width="10.85"/>
    <col collapsed="false" customWidth="true" hidden="false" outlineLevel="0" max="7" min="7" style="0" width="8.53"/>
    <col collapsed="false" customWidth="true" hidden="false" outlineLevel="0" max="8" min="8" style="0" width="14.71"/>
    <col collapsed="false" customWidth="true" hidden="false" outlineLevel="0" max="9" min="9" style="0" width="30.29"/>
    <col collapsed="false" customWidth="true" hidden="false" outlineLevel="0" max="1025" min="10" style="0" width="8.53"/>
  </cols>
  <sheetData>
    <row r="1" customFormat="false" ht="15" hidden="false" customHeight="false" outlineLevel="0" collapsed="false">
      <c r="A1" s="16" t="s">
        <v>620</v>
      </c>
    </row>
    <row r="2" s="18" customFormat="true" ht="90" hidden="false" customHeight="false" outlineLevel="0" collapsed="false">
      <c r="A2" s="18" t="s">
        <v>602</v>
      </c>
      <c r="B2" s="28" t="s">
        <v>621</v>
      </c>
      <c r="C2" s="19" t="s">
        <v>622</v>
      </c>
      <c r="D2" s="19" t="s">
        <v>623</v>
      </c>
      <c r="E2" s="19" t="s">
        <v>624</v>
      </c>
      <c r="F2" s="19" t="s">
        <v>625</v>
      </c>
      <c r="G2" s="19" t="s">
        <v>626</v>
      </c>
      <c r="H2" s="20" t="s">
        <v>627</v>
      </c>
      <c r="I2" s="19" t="s">
        <v>628</v>
      </c>
      <c r="J2" s="21" t="s">
        <v>629</v>
      </c>
      <c r="K2" s="18" t="s">
        <v>630</v>
      </c>
    </row>
    <row r="3" customFormat="false" ht="15" hidden="false" customHeight="false" outlineLevel="0" collapsed="false">
      <c r="A3" s="0" t="s">
        <v>631</v>
      </c>
      <c r="B3" s="29" t="s">
        <v>632</v>
      </c>
      <c r="C3" s="22" t="n">
        <v>15</v>
      </c>
      <c r="D3" s="22" t="n">
        <v>1323</v>
      </c>
      <c r="E3" s="22" t="n">
        <v>35.7142857142857</v>
      </c>
      <c r="F3" s="22" t="n">
        <v>4.89462221533489</v>
      </c>
      <c r="G3" s="22" t="n">
        <v>1.2368535018605E-007</v>
      </c>
      <c r="H3" s="14" t="n">
        <v>2.20159923331168E-005</v>
      </c>
      <c r="I3" s="22" t="n">
        <v>1.10079961665584E-005</v>
      </c>
      <c r="J3" s="23" t="n">
        <v>7.50083533356139E-005</v>
      </c>
      <c r="K3" s="0" t="s">
        <v>633</v>
      </c>
    </row>
    <row r="4" customFormat="false" ht="15" hidden="false" customHeight="false" outlineLevel="0" collapsed="false">
      <c r="A4" s="0" t="s">
        <v>634</v>
      </c>
      <c r="B4" s="30" t="s">
        <v>635</v>
      </c>
      <c r="C4" s="22" t="n">
        <v>14</v>
      </c>
      <c r="D4" s="22" t="n">
        <v>576</v>
      </c>
      <c r="E4" s="22" t="n">
        <v>33.3333333333333</v>
      </c>
      <c r="F4" s="22" t="n">
        <v>10.4932428410184</v>
      </c>
      <c r="G4" s="22" t="n">
        <v>2.13562629732214E-011</v>
      </c>
      <c r="H4" s="14" t="n">
        <v>3.80141480923341E-009</v>
      </c>
      <c r="I4" s="22" t="n">
        <v>3.80141480923341E-009</v>
      </c>
      <c r="J4" s="23" t="n">
        <v>2.59027947386506E-008</v>
      </c>
      <c r="K4" s="0" t="s">
        <v>636</v>
      </c>
    </row>
    <row r="5" customFormat="false" ht="15" hidden="false" customHeight="false" outlineLevel="0" collapsed="false">
      <c r="A5" s="0" t="s">
        <v>637</v>
      </c>
      <c r="B5" s="31" t="s">
        <v>638</v>
      </c>
      <c r="C5" s="22" t="n">
        <v>7</v>
      </c>
      <c r="D5" s="22" t="n">
        <v>1215</v>
      </c>
      <c r="E5" s="22" t="n">
        <v>16.6666666666667</v>
      </c>
      <c r="F5" s="22" t="n">
        <v>2.48908528412836</v>
      </c>
      <c r="G5" s="22" t="n">
        <v>0.0204875347491546</v>
      </c>
      <c r="H5" s="14" t="n">
        <v>1</v>
      </c>
      <c r="I5" s="22" t="n">
        <v>1</v>
      </c>
      <c r="J5" s="23" t="n">
        <v>1</v>
      </c>
      <c r="K5" s="0" t="s">
        <v>639</v>
      </c>
    </row>
    <row r="6" customFormat="false" ht="15" hidden="false" customHeight="false" outlineLevel="0" collapsed="false">
      <c r="A6" s="0" t="s">
        <v>640</v>
      </c>
      <c r="B6" s="29" t="s">
        <v>641</v>
      </c>
      <c r="C6" s="22" t="n">
        <v>2</v>
      </c>
      <c r="D6" s="22" t="n">
        <v>1683</v>
      </c>
      <c r="E6" s="22" t="n">
        <v>4.76190476190476</v>
      </c>
      <c r="F6" s="22" t="n">
        <v>0.51524166213683</v>
      </c>
      <c r="G6" s="22" t="n">
        <v>0.911833315924645</v>
      </c>
      <c r="H6" s="14" t="n">
        <v>1</v>
      </c>
      <c r="I6" s="22" t="n">
        <v>1</v>
      </c>
      <c r="J6" s="23" t="n">
        <v>1</v>
      </c>
      <c r="K6" s="0" t="s">
        <v>642</v>
      </c>
    </row>
    <row r="7" customFormat="false" ht="15" hidden="false" customHeight="false" outlineLevel="0" collapsed="false">
      <c r="A7" s="0" t="s">
        <v>643</v>
      </c>
      <c r="B7" s="29" t="s">
        <v>644</v>
      </c>
      <c r="C7" s="22" t="n">
        <v>2</v>
      </c>
      <c r="D7" s="22" t="n">
        <v>1633</v>
      </c>
      <c r="E7" s="22" t="n">
        <v>4.76190476190476</v>
      </c>
      <c r="F7" s="22" t="n">
        <v>0.531017489049612</v>
      </c>
      <c r="G7" s="22" t="n">
        <v>0.902479925316894</v>
      </c>
      <c r="H7" s="14" t="n">
        <v>1</v>
      </c>
      <c r="I7" s="22" t="n">
        <v>1</v>
      </c>
      <c r="J7" s="23" t="n">
        <v>1</v>
      </c>
      <c r="K7" s="0" t="s">
        <v>642</v>
      </c>
    </row>
    <row r="8" customFormat="false" ht="15" hidden="false" customHeight="false" outlineLevel="0" collapsed="false">
      <c r="A8" s="0" t="s">
        <v>645</v>
      </c>
      <c r="B8" s="32" t="s">
        <v>646</v>
      </c>
      <c r="C8" s="22" t="n">
        <v>2</v>
      </c>
      <c r="D8" s="22" t="n">
        <v>3713</v>
      </c>
      <c r="E8" s="22" t="n">
        <v>4.76190476190476</v>
      </c>
      <c r="F8" s="22" t="n">
        <v>0.233545525003409</v>
      </c>
      <c r="G8" s="22" t="n">
        <v>0.999229173870618</v>
      </c>
      <c r="H8" s="14" t="n">
        <v>1</v>
      </c>
      <c r="I8" s="22" t="n">
        <v>1</v>
      </c>
      <c r="J8" s="23" t="n">
        <v>1</v>
      </c>
      <c r="K8" s="0" t="s">
        <v>647</v>
      </c>
    </row>
    <row r="9" customFormat="false" ht="15" hidden="false" customHeight="false" outlineLevel="0" collapsed="false">
      <c r="B9" s="32" t="s">
        <v>648</v>
      </c>
      <c r="C9" s="22" t="n">
        <v>2</v>
      </c>
      <c r="D9" s="22" t="n">
        <v>3934</v>
      </c>
      <c r="E9" s="22" t="n">
        <v>4.76190476190476</v>
      </c>
      <c r="F9" s="22" t="n">
        <v>0.220425690273514</v>
      </c>
      <c r="G9" s="22" t="n">
        <v>0.999569570986605</v>
      </c>
      <c r="H9" s="14" t="n">
        <v>1</v>
      </c>
      <c r="I9" s="22" t="n">
        <v>1</v>
      </c>
      <c r="J9" s="23" t="n">
        <v>1</v>
      </c>
      <c r="K9" s="0" t="s">
        <v>647</v>
      </c>
    </row>
    <row r="10" customFormat="false" ht="15" hidden="false" customHeight="false" outlineLevel="0" collapsed="false">
      <c r="B10" s="31" t="s">
        <v>649</v>
      </c>
      <c r="C10" s="22" t="n">
        <v>1</v>
      </c>
      <c r="D10" s="22" t="n">
        <v>4731</v>
      </c>
      <c r="E10" s="22" t="n">
        <v>2.38095238095238</v>
      </c>
      <c r="F10" s="22" t="n">
        <v>0.0921020123689718</v>
      </c>
      <c r="G10" s="22" t="n">
        <v>0.999997015379232</v>
      </c>
      <c r="H10" s="14" t="n">
        <v>1</v>
      </c>
      <c r="I10" s="22" t="n">
        <v>1</v>
      </c>
      <c r="J10" s="23" t="n">
        <v>1</v>
      </c>
      <c r="K10" s="0" t="s">
        <v>650</v>
      </c>
    </row>
    <row r="11" customFormat="false" ht="15" hidden="false" customHeight="false" outlineLevel="0" collapsed="false">
      <c r="B11" s="33" t="s">
        <v>651</v>
      </c>
      <c r="C11" s="22" t="n">
        <v>1</v>
      </c>
      <c r="D11" s="22" t="n">
        <v>1125</v>
      </c>
      <c r="E11" s="22" t="n">
        <v>2.38095238095238</v>
      </c>
      <c r="F11" s="22" t="n">
        <v>0.38731703854875</v>
      </c>
      <c r="G11" s="22" t="n">
        <v>0.93243156025626</v>
      </c>
      <c r="H11" s="14" t="n">
        <v>1</v>
      </c>
      <c r="I11" s="22" t="n">
        <v>1</v>
      </c>
      <c r="J11" s="23" t="n">
        <v>1</v>
      </c>
      <c r="K11" s="0" t="s">
        <v>652</v>
      </c>
    </row>
    <row r="12" customFormat="false" ht="15" hidden="false" customHeight="false" outlineLevel="0" collapsed="false">
      <c r="C12" s="0" t="n">
        <f aca="false">SUM(C3:C11)</f>
        <v>46</v>
      </c>
    </row>
    <row r="13" customFormat="false" ht="15" hidden="false" customHeight="false" outlineLevel="0" collapsed="false">
      <c r="A13" s="16" t="s">
        <v>653</v>
      </c>
    </row>
    <row r="14" customFormat="false" ht="15" hidden="false" customHeight="false" outlineLevel="0" collapsed="false">
      <c r="A14" s="0" t="n">
        <v>3</v>
      </c>
      <c r="B14" s="34" t="s">
        <v>654</v>
      </c>
      <c r="C14" s="0" t="n">
        <v>16</v>
      </c>
      <c r="D14" s="35" t="n">
        <v>0.37</v>
      </c>
      <c r="E14" s="35" t="n">
        <v>0.327</v>
      </c>
      <c r="F14" s="36" t="s">
        <v>655</v>
      </c>
    </row>
    <row r="15" customFormat="false" ht="15" hidden="false" customHeight="false" outlineLevel="0" collapsed="false">
      <c r="A15" s="0" t="n">
        <v>1</v>
      </c>
      <c r="B15" s="37" t="s">
        <v>656</v>
      </c>
      <c r="C15" s="0" t="n">
        <v>12</v>
      </c>
      <c r="D15" s="35" t="n">
        <v>0.239</v>
      </c>
      <c r="E15" s="35" t="n">
        <v>0.212</v>
      </c>
      <c r="F15" s="36" t="s">
        <v>657</v>
      </c>
    </row>
    <row r="16" customFormat="false" ht="15" hidden="false" customHeight="false" outlineLevel="0" collapsed="false">
      <c r="A16" s="0" t="n">
        <v>5</v>
      </c>
      <c r="B16" s="33" t="s">
        <v>658</v>
      </c>
      <c r="C16" s="0" t="n">
        <v>8</v>
      </c>
      <c r="D16" s="35" t="n">
        <v>0.196</v>
      </c>
      <c r="E16" s="35" t="n">
        <v>0.173</v>
      </c>
      <c r="F16" s="36" t="s">
        <v>659</v>
      </c>
      <c r="G16" s="0" t="s">
        <v>660</v>
      </c>
    </row>
    <row r="17" customFormat="false" ht="14.25" hidden="false" customHeight="true" outlineLevel="0" collapsed="false">
      <c r="A17" s="0" t="n">
        <v>6</v>
      </c>
      <c r="B17" s="38" t="s">
        <v>661</v>
      </c>
      <c r="C17" s="0" t="n">
        <v>5</v>
      </c>
      <c r="D17" s="35" t="n">
        <v>0.13</v>
      </c>
      <c r="E17" s="35" t="n">
        <v>0.115</v>
      </c>
      <c r="F17" s="36" t="s">
        <v>662</v>
      </c>
    </row>
    <row r="18" customFormat="false" ht="15" hidden="false" customHeight="false" outlineLevel="0" collapsed="false">
      <c r="A18" s="0" t="n">
        <v>7</v>
      </c>
      <c r="B18" s="39" t="s">
        <v>663</v>
      </c>
      <c r="C18" s="0" t="n">
        <v>3</v>
      </c>
      <c r="D18" s="35" t="n">
        <v>0.065</v>
      </c>
      <c r="E18" s="35" t="n">
        <v>0.058</v>
      </c>
      <c r="F18" s="36" t="s">
        <v>664</v>
      </c>
      <c r="G18" s="0" t="s">
        <v>665</v>
      </c>
    </row>
    <row r="19" customFormat="false" ht="15" hidden="false" customHeight="true" outlineLevel="0" collapsed="false">
      <c r="A19" s="0" t="n">
        <v>2</v>
      </c>
      <c r="B19" s="40" t="s">
        <v>666</v>
      </c>
      <c r="C19" s="0" t="n">
        <v>2</v>
      </c>
      <c r="D19" s="35" t="n">
        <v>0.043</v>
      </c>
      <c r="E19" s="35" t="n">
        <v>0.038</v>
      </c>
      <c r="F19" s="36" t="s">
        <v>667</v>
      </c>
      <c r="G19" s="0" t="s">
        <v>668</v>
      </c>
    </row>
    <row r="20" customFormat="false" ht="17.25" hidden="false" customHeight="true" outlineLevel="0" collapsed="false">
      <c r="A20" s="0" t="n">
        <v>4</v>
      </c>
      <c r="B20" s="16" t="s">
        <v>669</v>
      </c>
      <c r="C20" s="0" t="n">
        <v>2</v>
      </c>
      <c r="D20" s="35" t="n">
        <v>0.043</v>
      </c>
      <c r="E20" s="35" t="n">
        <v>0.038</v>
      </c>
      <c r="F20" s="41" t="s">
        <v>670</v>
      </c>
    </row>
    <row r="21" customFormat="false" ht="15" hidden="false" customHeight="false" outlineLevel="0" collapsed="false">
      <c r="A21" s="0" t="n">
        <v>8</v>
      </c>
      <c r="B21" s="42" t="s">
        <v>671</v>
      </c>
      <c r="C21" s="0" t="n">
        <v>2</v>
      </c>
      <c r="D21" s="35" t="n">
        <v>0.043</v>
      </c>
      <c r="E21" s="35" t="n">
        <v>0.038</v>
      </c>
      <c r="F21" s="43" t="s">
        <v>672</v>
      </c>
      <c r="G21" s="0" t="s">
        <v>673</v>
      </c>
    </row>
    <row r="23" customFormat="false" ht="15" hidden="false" customHeight="false" outlineLevel="0" collapsed="false">
      <c r="I23" s="16" t="s">
        <v>674</v>
      </c>
      <c r="J23" s="16" t="s">
        <v>55</v>
      </c>
      <c r="K23" s="16" t="s">
        <v>604</v>
      </c>
    </row>
    <row r="24" customFormat="false" ht="15" hidden="false" customHeight="false" outlineLevel="0" collapsed="false">
      <c r="B24" s="33" t="s">
        <v>658</v>
      </c>
      <c r="C24" s="0" t="s">
        <v>675</v>
      </c>
      <c r="E24" s="31" t="s">
        <v>644</v>
      </c>
      <c r="I24" s="0" t="s">
        <v>676</v>
      </c>
      <c r="J24" s="0" t="n">
        <v>23</v>
      </c>
      <c r="K24" s="44" t="n">
        <f aca="false">100*J24/$J$34</f>
        <v>28.3950617283951</v>
      </c>
    </row>
    <row r="25" customFormat="false" ht="15" hidden="false" customHeight="false" outlineLevel="0" collapsed="false">
      <c r="B25" s="40" t="s">
        <v>666</v>
      </c>
      <c r="C25" s="0" t="s">
        <v>677</v>
      </c>
      <c r="I25" s="0" t="s">
        <v>678</v>
      </c>
      <c r="J25" s="0" t="n">
        <v>17</v>
      </c>
      <c r="K25" s="44" t="n">
        <f aca="false">100*J25/$J$34</f>
        <v>20.9876543209877</v>
      </c>
    </row>
    <row r="26" customFormat="false" ht="15" hidden="false" customHeight="false" outlineLevel="0" collapsed="false">
      <c r="B26" s="39" t="s">
        <v>663</v>
      </c>
      <c r="I26" s="0" t="s">
        <v>679</v>
      </c>
      <c r="J26" s="0" t="n">
        <v>16</v>
      </c>
      <c r="K26" s="44" t="n">
        <f aca="false">100*J26/$J$34</f>
        <v>19.7530864197531</v>
      </c>
    </row>
    <row r="27" customFormat="false" ht="15" hidden="false" customHeight="false" outlineLevel="0" collapsed="false">
      <c r="B27" s="42" t="s">
        <v>671</v>
      </c>
      <c r="I27" s="0" t="s">
        <v>680</v>
      </c>
      <c r="J27" s="0" t="n">
        <v>12</v>
      </c>
      <c r="K27" s="44" t="n">
        <f aca="false">100*J27/$J$34</f>
        <v>14.8148148148148</v>
      </c>
    </row>
    <row r="28" customFormat="false" ht="15" hidden="false" customHeight="false" outlineLevel="0" collapsed="false">
      <c r="B28" s="34" t="s">
        <v>654</v>
      </c>
      <c r="C28" s="45" t="s">
        <v>681</v>
      </c>
      <c r="E28" s="31" t="s">
        <v>651</v>
      </c>
      <c r="I28" s="0" t="s">
        <v>682</v>
      </c>
      <c r="J28" s="0" t="n">
        <v>5</v>
      </c>
      <c r="K28" s="44" t="n">
        <f aca="false">100*J28/$J$34</f>
        <v>6.17283950617284</v>
      </c>
    </row>
    <row r="29" customFormat="false" ht="15" hidden="false" customHeight="false" outlineLevel="0" collapsed="false">
      <c r="B29" s="37" t="s">
        <v>656</v>
      </c>
      <c r="I29" s="0" t="s">
        <v>683</v>
      </c>
      <c r="J29" s="0" t="n">
        <v>3</v>
      </c>
      <c r="K29" s="44" t="n">
        <f aca="false">100*J29/$J$34</f>
        <v>3.7037037037037</v>
      </c>
    </row>
    <row r="30" customFormat="false" ht="15" hidden="false" customHeight="false" outlineLevel="0" collapsed="false">
      <c r="B30" s="38" t="s">
        <v>661</v>
      </c>
      <c r="I30" s="0" t="s">
        <v>684</v>
      </c>
      <c r="J30" s="0" t="n">
        <v>2</v>
      </c>
      <c r="K30" s="44" t="n">
        <f aca="false">100*J30/$J$34</f>
        <v>2.46913580246914</v>
      </c>
    </row>
    <row r="31" customFormat="false" ht="15" hidden="false" customHeight="false" outlineLevel="0" collapsed="false">
      <c r="B31" s="16" t="s">
        <v>669</v>
      </c>
      <c r="I31" s="0" t="s">
        <v>685</v>
      </c>
      <c r="J31" s="0" t="n">
        <v>2</v>
      </c>
      <c r="K31" s="44" t="n">
        <f aca="false">100*J31/$J$34</f>
        <v>2.46913580246914</v>
      </c>
    </row>
    <row r="32" customFormat="false" ht="15" hidden="false" customHeight="false" outlineLevel="0" collapsed="false">
      <c r="B32" s="31" t="s">
        <v>649</v>
      </c>
      <c r="I32" s="0" t="s">
        <v>686</v>
      </c>
      <c r="J32" s="0" t="n">
        <v>1</v>
      </c>
      <c r="K32" s="44" t="n">
        <f aca="false">100*J32/$J$34</f>
        <v>1.23456790123457</v>
      </c>
    </row>
    <row r="34" customFormat="false" ht="15" hidden="false" customHeight="false" outlineLevel="0" collapsed="false">
      <c r="J34" s="0" t="n">
        <f aca="false">SUM(J24:J32)</f>
        <v>81</v>
      </c>
      <c r="K34" s="44" t="n">
        <f aca="false">SUM(K24:K32)</f>
        <v>100</v>
      </c>
    </row>
    <row r="35" customFormat="false" ht="15" hidden="false" customHeight="false" outlineLevel="0" collapsed="false">
      <c r="B35" s="16" t="s">
        <v>674</v>
      </c>
      <c r="C35" s="16" t="s">
        <v>55</v>
      </c>
      <c r="D35" s="16" t="s">
        <v>604</v>
      </c>
    </row>
    <row r="36" customFormat="false" ht="15" hidden="false" customHeight="false" outlineLevel="0" collapsed="false">
      <c r="B36" s="0" t="s">
        <v>676</v>
      </c>
      <c r="C36" s="0" t="n">
        <v>23</v>
      </c>
      <c r="D36" s="44" t="n">
        <f aca="false">100*C36/$J$34</f>
        <v>28.3950617283951</v>
      </c>
    </row>
    <row r="37" customFormat="false" ht="15" hidden="false" customHeight="false" outlineLevel="0" collapsed="false">
      <c r="B37" s="0" t="s">
        <v>678</v>
      </c>
      <c r="C37" s="0" t="n">
        <v>17</v>
      </c>
      <c r="D37" s="44" t="n">
        <f aca="false">100*C37/$J$34</f>
        <v>20.9876543209877</v>
      </c>
    </row>
    <row r="38" customFormat="false" ht="15" hidden="false" customHeight="false" outlineLevel="0" collapsed="false">
      <c r="B38" s="0" t="s">
        <v>679</v>
      </c>
      <c r="C38" s="0" t="n">
        <v>16</v>
      </c>
      <c r="D38" s="44" t="n">
        <f aca="false">100*C38/$J$34</f>
        <v>19.7530864197531</v>
      </c>
    </row>
    <row r="39" customFormat="false" ht="15" hidden="false" customHeight="false" outlineLevel="0" collapsed="false">
      <c r="B39" s="0" t="s">
        <v>680</v>
      </c>
      <c r="C39" s="0" t="n">
        <v>12</v>
      </c>
      <c r="D39" s="44" t="n">
        <f aca="false">100*C39/$J$34</f>
        <v>14.8148148148148</v>
      </c>
    </row>
    <row r="40" customFormat="false" ht="15" hidden="false" customHeight="false" outlineLevel="0" collapsed="false">
      <c r="B40" s="0" t="s">
        <v>682</v>
      </c>
      <c r="C40" s="0" t="n">
        <v>5</v>
      </c>
      <c r="D40" s="44" t="n">
        <f aca="false">100*C40/$J$34</f>
        <v>6.17283950617284</v>
      </c>
    </row>
    <row r="41" customFormat="false" ht="15" hidden="false" customHeight="false" outlineLevel="0" collapsed="false">
      <c r="B41" s="0" t="s">
        <v>687</v>
      </c>
      <c r="C41" s="0" t="n">
        <v>8</v>
      </c>
      <c r="D41" s="44" t="n">
        <f aca="false">100*C41/$J$34</f>
        <v>9.87654320987654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L271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59" activeCellId="0" sqref="A59"/>
    </sheetView>
  </sheetViews>
  <sheetFormatPr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81.14"/>
    <col collapsed="false" customWidth="true" hidden="false" outlineLevel="0" max="3" min="3" style="0" width="14.57"/>
    <col collapsed="false" customWidth="true" hidden="false" outlineLevel="0" max="4" min="4" style="0" width="13.43"/>
    <col collapsed="false" customWidth="true" hidden="false" outlineLevel="0" max="5" min="5" style="0" width="17.57"/>
    <col collapsed="false" customWidth="true" hidden="false" outlineLevel="0" max="6" min="6" style="0" width="16.28"/>
    <col collapsed="false" customWidth="true" hidden="false" outlineLevel="0" max="7" min="7" style="0" width="12.28"/>
    <col collapsed="false" customWidth="true" hidden="false" outlineLevel="0" max="8" min="8" style="0" width="14.57"/>
    <col collapsed="false" customWidth="true" hidden="false" outlineLevel="0" max="9" min="9" style="0" width="12"/>
    <col collapsed="false" customWidth="true" hidden="false" outlineLevel="0" max="10" min="10" style="0" width="16.43"/>
    <col collapsed="false" customWidth="true" hidden="false" outlineLevel="0" max="11" min="11" style="0" width="15.28"/>
    <col collapsed="false" customWidth="true" hidden="false" outlineLevel="0" max="12" min="12" style="0" width="14.28"/>
    <col collapsed="false" customWidth="true" hidden="false" outlineLevel="0" max="13" min="13" style="0" width="16.71"/>
    <col collapsed="false" customWidth="true" hidden="false" outlineLevel="0" max="14" min="14" style="0" width="13.57"/>
    <col collapsed="false" customWidth="true" hidden="false" outlineLevel="0" max="16" min="15" style="0" width="81.14"/>
    <col collapsed="false" customWidth="true" hidden="false" outlineLevel="0" max="17" min="17" style="0" width="30.29"/>
    <col collapsed="false" customWidth="true" hidden="false" outlineLevel="0" max="18" min="18" style="0" width="13.28"/>
    <col collapsed="false" customWidth="true" hidden="false" outlineLevel="0" max="19" min="19" style="0" width="81.14"/>
    <col collapsed="false" customWidth="true" hidden="false" outlineLevel="0" max="20" min="20" style="0" width="79"/>
    <col collapsed="false" customWidth="true" hidden="false" outlineLevel="0" max="25" min="21" style="0" width="81.14"/>
    <col collapsed="false" customWidth="true" hidden="false" outlineLevel="0" max="26" min="26" style="0" width="7.71"/>
    <col collapsed="false" customWidth="true" hidden="false" outlineLevel="0" max="31" min="27" style="0" width="81.14"/>
    <col collapsed="false" customWidth="true" hidden="false" outlineLevel="0" max="33" min="32" style="0" width="7.14"/>
    <col collapsed="false" customWidth="true" hidden="false" outlineLevel="0" max="34" min="34" style="0" width="81.14"/>
    <col collapsed="false" customWidth="true" hidden="false" outlineLevel="0" max="37" min="35" style="0" width="7.14"/>
    <col collapsed="false" customWidth="true" hidden="false" outlineLevel="0" max="38" min="38" style="0" width="81.14"/>
    <col collapsed="false" customWidth="true" hidden="false" outlineLevel="0" max="1025" min="39" style="0" width="8.53"/>
  </cols>
  <sheetData>
    <row r="1" customFormat="false" ht="15" hidden="false" customHeight="false" outlineLevel="0" collapsed="false">
      <c r="A1" s="0" t="s">
        <v>688</v>
      </c>
      <c r="B1" s="0" t="s">
        <v>689</v>
      </c>
      <c r="C1" s="0" t="s">
        <v>690</v>
      </c>
      <c r="D1" s="0" t="s">
        <v>691</v>
      </c>
      <c r="E1" s="0" t="s">
        <v>692</v>
      </c>
      <c r="F1" s="0" t="s">
        <v>693</v>
      </c>
      <c r="G1" s="0" t="s">
        <v>694</v>
      </c>
      <c r="H1" s="0" t="s">
        <v>695</v>
      </c>
      <c r="I1" s="0" t="s">
        <v>696</v>
      </c>
      <c r="J1" s="0" t="s">
        <v>697</v>
      </c>
      <c r="K1" s="0" t="s">
        <v>698</v>
      </c>
      <c r="L1" s="0" t="s">
        <v>699</v>
      </c>
      <c r="M1" s="0" t="s">
        <v>700</v>
      </c>
      <c r="N1" s="0" t="s">
        <v>701</v>
      </c>
      <c r="O1" s="0" t="s">
        <v>702</v>
      </c>
      <c r="P1" s="0" t="s">
        <v>703</v>
      </c>
      <c r="Q1" s="0" t="s">
        <v>704</v>
      </c>
      <c r="R1" s="0" t="s">
        <v>705</v>
      </c>
      <c r="S1" s="0" t="s">
        <v>706</v>
      </c>
    </row>
    <row r="2" customFormat="false" ht="15" hidden="false" customHeight="false" outlineLevel="0" collapsed="false">
      <c r="A2" s="0" t="s">
        <v>707</v>
      </c>
      <c r="B2" s="0" t="s">
        <v>708</v>
      </c>
      <c r="C2" s="0" t="n">
        <v>13</v>
      </c>
      <c r="D2" s="0" t="n">
        <v>135</v>
      </c>
      <c r="E2" s="0" t="n">
        <v>3</v>
      </c>
      <c r="F2" s="0" t="n">
        <v>57</v>
      </c>
      <c r="G2" s="0" t="n">
        <v>0.0121032813340505</v>
      </c>
      <c r="H2" s="46" t="n">
        <v>1.11022302462515E-016</v>
      </c>
      <c r="I2" s="46" t="n">
        <v>1.16573417585641E-014</v>
      </c>
      <c r="J2" s="0" t="n">
        <v>38</v>
      </c>
      <c r="K2" s="0" t="n">
        <v>42</v>
      </c>
      <c r="L2" s="0" t="n">
        <v>0.0035344609946983</v>
      </c>
      <c r="M2" s="0" t="n">
        <v>9606</v>
      </c>
      <c r="N2" s="0" t="s">
        <v>709</v>
      </c>
      <c r="O2" s="0" t="s">
        <v>710</v>
      </c>
      <c r="P2" s="0" t="s">
        <v>710</v>
      </c>
      <c r="Q2" s="0" t="s">
        <v>235</v>
      </c>
      <c r="R2" s="0" t="s">
        <v>235</v>
      </c>
      <c r="S2" s="0" t="s">
        <v>395</v>
      </c>
      <c r="T2" s="0" t="s">
        <v>395</v>
      </c>
      <c r="U2" s="0" t="s">
        <v>235</v>
      </c>
      <c r="V2" s="0" t="s">
        <v>711</v>
      </c>
    </row>
    <row r="3" customFormat="false" ht="15" hidden="false" customHeight="false" outlineLevel="0" collapsed="false">
      <c r="A3" s="0" t="s">
        <v>712</v>
      </c>
      <c r="B3" s="0" t="s">
        <v>713</v>
      </c>
      <c r="C3" s="0" t="n">
        <v>14</v>
      </c>
      <c r="D3" s="0" t="n">
        <v>146</v>
      </c>
      <c r="E3" s="0" t="n">
        <v>3</v>
      </c>
      <c r="F3" s="0" t="n">
        <v>57</v>
      </c>
      <c r="G3" s="0" t="n">
        <v>0.0130894746279361</v>
      </c>
      <c r="H3" s="46" t="n">
        <v>1.11022302462515E-016</v>
      </c>
      <c r="I3" s="46" t="n">
        <v>1.16573417585641E-014</v>
      </c>
      <c r="J3" s="0" t="n">
        <v>60</v>
      </c>
      <c r="K3" s="0" t="n">
        <v>71</v>
      </c>
      <c r="L3" s="0" t="n">
        <v>0.00597492215770428</v>
      </c>
      <c r="M3" s="0" t="n">
        <v>9606</v>
      </c>
      <c r="N3" s="0" t="s">
        <v>709</v>
      </c>
      <c r="O3" s="0" t="s">
        <v>714</v>
      </c>
      <c r="P3" s="0" t="s">
        <v>714</v>
      </c>
      <c r="Q3" s="0" t="s">
        <v>235</v>
      </c>
      <c r="R3" s="0" t="s">
        <v>235</v>
      </c>
      <c r="S3" s="0" t="s">
        <v>395</v>
      </c>
      <c r="T3" s="0" t="s">
        <v>395</v>
      </c>
      <c r="U3" s="0" t="s">
        <v>235</v>
      </c>
      <c r="V3" s="0" t="s">
        <v>715</v>
      </c>
    </row>
    <row r="4" customFormat="false" ht="15" hidden="false" customHeight="false" outlineLevel="0" collapsed="false">
      <c r="A4" s="0" t="s">
        <v>716</v>
      </c>
      <c r="B4" s="0" t="s">
        <v>717</v>
      </c>
      <c r="C4" s="0" t="n">
        <v>14</v>
      </c>
      <c r="D4" s="0" t="n">
        <v>128</v>
      </c>
      <c r="E4" s="0" t="n">
        <v>0</v>
      </c>
      <c r="F4" s="0" t="n">
        <v>31</v>
      </c>
      <c r="G4" s="0" t="n">
        <v>0.011475703783396</v>
      </c>
      <c r="H4" s="46" t="n">
        <v>1.11022302462515E-016</v>
      </c>
      <c r="I4" s="46" t="n">
        <v>1.16573417585641E-014</v>
      </c>
      <c r="J4" s="0" t="n">
        <v>3</v>
      </c>
      <c r="K4" s="0" t="n">
        <v>11</v>
      </c>
      <c r="L4" s="46" t="n">
        <v>0.000925692165278128</v>
      </c>
      <c r="M4" s="0" t="n">
        <v>9606</v>
      </c>
      <c r="N4" s="0" t="s">
        <v>709</v>
      </c>
      <c r="O4" s="0" t="s">
        <v>718</v>
      </c>
      <c r="P4" s="0" t="s">
        <v>718</v>
      </c>
      <c r="S4" s="0" t="s">
        <v>719</v>
      </c>
    </row>
    <row r="5" customFormat="false" ht="15" hidden="false" customHeight="false" outlineLevel="0" collapsed="false">
      <c r="A5" s="0" t="s">
        <v>720</v>
      </c>
      <c r="B5" s="0" t="s">
        <v>721</v>
      </c>
      <c r="C5" s="0" t="n">
        <v>14</v>
      </c>
      <c r="D5" s="0" t="n">
        <v>133</v>
      </c>
      <c r="E5" s="0" t="n">
        <v>0</v>
      </c>
      <c r="F5" s="0" t="n">
        <v>82</v>
      </c>
      <c r="G5" s="0" t="n">
        <v>0.011923973462435</v>
      </c>
      <c r="H5" s="46" t="n">
        <v>6.66133814775093E-016</v>
      </c>
      <c r="I5" s="46" t="n">
        <v>5.26245713672324E-014</v>
      </c>
      <c r="J5" s="0" t="n">
        <v>3</v>
      </c>
      <c r="K5" s="0" t="n">
        <v>14</v>
      </c>
      <c r="L5" s="0" t="n">
        <v>0.00117815366489943</v>
      </c>
      <c r="M5" s="0" t="n">
        <v>9606</v>
      </c>
      <c r="N5" s="0" t="s">
        <v>709</v>
      </c>
      <c r="O5" s="0" t="s">
        <v>718</v>
      </c>
      <c r="P5" s="0" t="s">
        <v>718</v>
      </c>
      <c r="S5" s="0" t="s">
        <v>719</v>
      </c>
    </row>
    <row r="6" customFormat="false" ht="15" hidden="false" customHeight="false" outlineLevel="0" collapsed="false">
      <c r="A6" s="0" t="s">
        <v>722</v>
      </c>
      <c r="B6" s="0" t="s">
        <v>723</v>
      </c>
      <c r="C6" s="0" t="n">
        <v>9</v>
      </c>
      <c r="D6" s="0" t="n">
        <v>107</v>
      </c>
      <c r="E6" s="0" t="n">
        <v>0</v>
      </c>
      <c r="F6" s="0" t="n">
        <v>0</v>
      </c>
      <c r="G6" s="0" t="n">
        <v>0.00959297113143266</v>
      </c>
      <c r="H6" s="46" t="n">
        <v>1.79329884275603E-011</v>
      </c>
      <c r="I6" s="46" t="n">
        <v>1.12977827093629E-009</v>
      </c>
      <c r="J6" s="0" t="n">
        <v>1</v>
      </c>
      <c r="K6" s="0" t="n">
        <v>1</v>
      </c>
      <c r="L6" s="46" t="n">
        <v>8.41538332071025E-005</v>
      </c>
      <c r="M6" s="0" t="n">
        <v>9606</v>
      </c>
      <c r="N6" s="0" t="s">
        <v>709</v>
      </c>
      <c r="O6" s="0" t="s">
        <v>724</v>
      </c>
      <c r="P6" s="0" t="s">
        <v>724</v>
      </c>
      <c r="S6" s="0" t="s">
        <v>725</v>
      </c>
    </row>
    <row r="7" customFormat="false" ht="15" hidden="false" customHeight="false" outlineLevel="0" collapsed="false">
      <c r="A7" s="0" t="s">
        <v>726</v>
      </c>
      <c r="B7" s="0" t="s">
        <v>727</v>
      </c>
      <c r="C7" s="0" t="n">
        <v>11</v>
      </c>
      <c r="D7" s="0" t="n">
        <v>124</v>
      </c>
      <c r="E7" s="0" t="n">
        <v>0</v>
      </c>
      <c r="F7" s="0" t="n">
        <v>103</v>
      </c>
      <c r="G7" s="0" t="n">
        <v>0.0111170880401649</v>
      </c>
      <c r="H7" s="46" t="n">
        <v>2.48956411041945E-011</v>
      </c>
      <c r="I7" s="46" t="n">
        <v>1.29457333741811E-009</v>
      </c>
      <c r="J7" s="0" t="n">
        <v>3</v>
      </c>
      <c r="K7" s="0" t="n">
        <v>14</v>
      </c>
      <c r="L7" s="0" t="n">
        <v>0.00117815366489943</v>
      </c>
      <c r="M7" s="0" t="n">
        <v>9606</v>
      </c>
      <c r="N7" s="0" t="s">
        <v>709</v>
      </c>
      <c r="O7" s="0" t="s">
        <v>728</v>
      </c>
      <c r="P7" s="0" t="s">
        <v>728</v>
      </c>
      <c r="S7" s="0" t="s">
        <v>729</v>
      </c>
    </row>
    <row r="8" customFormat="false" ht="15" hidden="false" customHeight="false" outlineLevel="0" collapsed="false">
      <c r="A8" s="0" t="s">
        <v>730</v>
      </c>
      <c r="B8" s="0" t="s">
        <v>731</v>
      </c>
      <c r="C8" s="0" t="n">
        <v>7</v>
      </c>
      <c r="D8" s="0" t="n">
        <v>39</v>
      </c>
      <c r="E8" s="0" t="n">
        <v>2</v>
      </c>
      <c r="F8" s="0" t="n">
        <v>46</v>
      </c>
      <c r="G8" s="0" t="n">
        <v>0.00349650349650349</v>
      </c>
      <c r="H8" s="46" t="n">
        <v>4.98568963891443E-011</v>
      </c>
      <c r="I8" s="46" t="n">
        <v>2.24356033751149E-009</v>
      </c>
      <c r="J8" s="0" t="n">
        <v>26</v>
      </c>
      <c r="K8" s="0" t="n">
        <v>57</v>
      </c>
      <c r="L8" s="0" t="n">
        <v>0.00479676849280484</v>
      </c>
      <c r="M8" s="0" t="n">
        <v>9606</v>
      </c>
      <c r="N8" s="0" t="s">
        <v>709</v>
      </c>
      <c r="O8" s="0" t="s">
        <v>732</v>
      </c>
      <c r="P8" s="0" t="s">
        <v>732</v>
      </c>
      <c r="Q8" s="0" t="s">
        <v>207</v>
      </c>
      <c r="R8" s="0" t="s">
        <v>566</v>
      </c>
      <c r="S8" s="0" t="s">
        <v>207</v>
      </c>
      <c r="T8" s="0" t="s">
        <v>733</v>
      </c>
      <c r="U8" s="0" t="s">
        <v>734</v>
      </c>
    </row>
    <row r="9" customFormat="false" ht="15" hidden="false" customHeight="false" outlineLevel="0" collapsed="false">
      <c r="A9" s="0" t="s">
        <v>735</v>
      </c>
      <c r="B9" s="0" t="s">
        <v>736</v>
      </c>
      <c r="C9" s="0" t="n">
        <v>15</v>
      </c>
      <c r="D9" s="0" t="n">
        <v>262</v>
      </c>
      <c r="E9" s="0" t="n">
        <v>0</v>
      </c>
      <c r="F9" s="0" t="n">
        <v>494</v>
      </c>
      <c r="G9" s="0" t="n">
        <v>0.0234893311816388</v>
      </c>
      <c r="H9" s="46" t="n">
        <v>4.85674944705749E-010</v>
      </c>
      <c r="I9" s="46" t="n">
        <v>1.89413228435242E-008</v>
      </c>
      <c r="J9" s="0" t="n">
        <v>20</v>
      </c>
      <c r="K9" s="0" t="n">
        <v>114</v>
      </c>
      <c r="L9" s="0" t="n">
        <v>0.00959353698560969</v>
      </c>
      <c r="M9" s="0" t="n">
        <v>9606</v>
      </c>
      <c r="N9" s="0" t="s">
        <v>709</v>
      </c>
      <c r="O9" s="0" t="s">
        <v>737</v>
      </c>
      <c r="P9" s="0" t="s">
        <v>737</v>
      </c>
      <c r="S9" s="0" t="s">
        <v>738</v>
      </c>
    </row>
    <row r="10" customFormat="false" ht="15" hidden="false" customHeight="false" outlineLevel="0" collapsed="false">
      <c r="A10" s="0" t="s">
        <v>739</v>
      </c>
      <c r="B10" s="0" t="s">
        <v>740</v>
      </c>
      <c r="C10" s="0" t="n">
        <v>22</v>
      </c>
      <c r="D10" s="0" t="n">
        <v>1183</v>
      </c>
      <c r="E10" s="0" t="n">
        <v>6</v>
      </c>
      <c r="F10" s="0" t="n">
        <v>1614</v>
      </c>
      <c r="G10" s="0" t="n">
        <v>0.106060606060606</v>
      </c>
      <c r="H10" s="46" t="n">
        <v>1.50351864292019E-009</v>
      </c>
      <c r="I10" s="46" t="n">
        <v>5.26231525022069E-008</v>
      </c>
      <c r="J10" s="0" t="n">
        <v>71</v>
      </c>
      <c r="K10" s="0" t="n">
        <v>651</v>
      </c>
      <c r="L10" s="0" t="n">
        <v>0.0547841454178237</v>
      </c>
      <c r="M10" s="0" t="n">
        <v>9606</v>
      </c>
      <c r="N10" s="0" t="s">
        <v>709</v>
      </c>
      <c r="O10" s="0" t="s">
        <v>741</v>
      </c>
      <c r="P10" s="0" t="s">
        <v>741</v>
      </c>
      <c r="Q10" s="0" t="s">
        <v>235</v>
      </c>
      <c r="R10" s="0" t="s">
        <v>235</v>
      </c>
      <c r="S10" s="0" t="s">
        <v>558</v>
      </c>
      <c r="T10" s="0" t="s">
        <v>579</v>
      </c>
      <c r="U10" s="0" t="s">
        <v>395</v>
      </c>
      <c r="V10" s="0" t="s">
        <v>569</v>
      </c>
      <c r="W10" s="0" t="s">
        <v>395</v>
      </c>
      <c r="X10" s="0" t="s">
        <v>742</v>
      </c>
      <c r="Y10" s="0" t="s">
        <v>235</v>
      </c>
      <c r="Z10" s="0" t="s">
        <v>743</v>
      </c>
      <c r="AA10" s="0" t="s">
        <v>744</v>
      </c>
      <c r="AB10" s="0" t="s">
        <v>745</v>
      </c>
    </row>
    <row r="11" customFormat="false" ht="15" hidden="false" customHeight="false" outlineLevel="0" collapsed="false">
      <c r="A11" s="0" t="s">
        <v>746</v>
      </c>
      <c r="B11" s="0" t="s">
        <v>747</v>
      </c>
      <c r="C11" s="0" t="n">
        <v>21</v>
      </c>
      <c r="D11" s="0" t="n">
        <v>722</v>
      </c>
      <c r="E11" s="0" t="n">
        <v>4</v>
      </c>
      <c r="F11" s="0" t="n">
        <v>1349</v>
      </c>
      <c r="G11" s="0" t="n">
        <v>0.0647301416532185</v>
      </c>
      <c r="H11" s="46" t="n">
        <v>2.0058416039248E-009</v>
      </c>
      <c r="I11" s="46" t="n">
        <v>6.2181089721669E-008</v>
      </c>
      <c r="J11" s="0" t="n">
        <v>71</v>
      </c>
      <c r="K11" s="0" t="n">
        <v>327</v>
      </c>
      <c r="L11" s="0" t="n">
        <v>0.0275183034587225</v>
      </c>
      <c r="M11" s="0" t="n">
        <v>9606</v>
      </c>
      <c r="N11" s="0" t="s">
        <v>709</v>
      </c>
      <c r="O11" s="0" t="s">
        <v>748</v>
      </c>
      <c r="P11" s="0" t="s">
        <v>748</v>
      </c>
      <c r="Q11" s="0" t="s">
        <v>207</v>
      </c>
      <c r="R11" s="0" t="s">
        <v>297</v>
      </c>
      <c r="S11" s="0" t="s">
        <v>566</v>
      </c>
      <c r="T11" s="0" t="s">
        <v>547</v>
      </c>
      <c r="U11" s="0" t="s">
        <v>207</v>
      </c>
      <c r="V11" s="0" t="s">
        <v>749</v>
      </c>
      <c r="W11" s="0" t="s">
        <v>750</v>
      </c>
      <c r="X11" s="0" t="s">
        <v>733</v>
      </c>
      <c r="Y11" s="0" t="s">
        <v>751</v>
      </c>
    </row>
    <row r="12" customFormat="false" ht="15" hidden="false" customHeight="false" outlineLevel="0" collapsed="false">
      <c r="A12" s="0" t="s">
        <v>752</v>
      </c>
      <c r="B12" s="0" t="s">
        <v>753</v>
      </c>
      <c r="C12" s="0" t="n">
        <v>5</v>
      </c>
      <c r="D12" s="0" t="n">
        <v>22</v>
      </c>
      <c r="E12" s="0" t="n">
        <v>2</v>
      </c>
      <c r="F12" s="0" t="n">
        <v>37</v>
      </c>
      <c r="G12" s="0" t="n">
        <v>0.0019723865877712</v>
      </c>
      <c r="H12" s="46" t="n">
        <v>9.14885511793528E-009</v>
      </c>
      <c r="I12" s="46" t="n">
        <v>2.56167943302187E-007</v>
      </c>
      <c r="J12" s="0" t="n">
        <v>18</v>
      </c>
      <c r="K12" s="0" t="n">
        <v>29</v>
      </c>
      <c r="L12" s="0" t="n">
        <v>0.00244046116300597</v>
      </c>
      <c r="M12" s="0" t="n">
        <v>9606</v>
      </c>
      <c r="N12" s="0" t="s">
        <v>709</v>
      </c>
      <c r="O12" s="0" t="s">
        <v>754</v>
      </c>
      <c r="P12" s="0" t="s">
        <v>754</v>
      </c>
      <c r="Q12" s="0" t="s">
        <v>207</v>
      </c>
      <c r="R12" s="0" t="s">
        <v>566</v>
      </c>
      <c r="S12" s="0" t="s">
        <v>207</v>
      </c>
      <c r="T12" s="0" t="s">
        <v>733</v>
      </c>
      <c r="U12" s="0" t="s">
        <v>755</v>
      </c>
    </row>
    <row r="13" customFormat="false" ht="15" hidden="false" customHeight="false" outlineLevel="0" collapsed="false">
      <c r="A13" s="0" t="s">
        <v>756</v>
      </c>
      <c r="B13" s="0" t="s">
        <v>757</v>
      </c>
      <c r="C13" s="0" t="n">
        <v>5</v>
      </c>
      <c r="D13" s="0" t="n">
        <v>22</v>
      </c>
      <c r="E13" s="0" t="n">
        <v>0</v>
      </c>
      <c r="F13" s="0" t="n">
        <v>8</v>
      </c>
      <c r="G13" s="0" t="n">
        <v>0.0019723865877712</v>
      </c>
      <c r="H13" s="46" t="n">
        <v>2.14923802088762E-008</v>
      </c>
      <c r="I13" s="46" t="n">
        <v>5.58801885430781E-007</v>
      </c>
      <c r="J13" s="0" t="n">
        <v>8</v>
      </c>
      <c r="K13" s="0" t="n">
        <v>20</v>
      </c>
      <c r="L13" s="0" t="n">
        <v>0.00168307666414205</v>
      </c>
      <c r="M13" s="0" t="n">
        <v>9606</v>
      </c>
      <c r="N13" s="0" t="s">
        <v>709</v>
      </c>
      <c r="O13" s="0" t="s">
        <v>758</v>
      </c>
      <c r="P13" s="0" t="s">
        <v>758</v>
      </c>
      <c r="S13" s="0" t="s">
        <v>759</v>
      </c>
    </row>
    <row r="14" customFormat="false" ht="15" hidden="false" customHeight="false" outlineLevel="0" collapsed="false">
      <c r="A14" s="0" t="s">
        <v>760</v>
      </c>
      <c r="B14" s="0" t="s">
        <v>761</v>
      </c>
      <c r="C14" s="0" t="n">
        <v>5</v>
      </c>
      <c r="D14" s="0" t="n">
        <v>44</v>
      </c>
      <c r="E14" s="0" t="n">
        <v>2</v>
      </c>
      <c r="F14" s="0" t="n">
        <v>28</v>
      </c>
      <c r="G14" s="0" t="n">
        <v>0.0039447731755424</v>
      </c>
      <c r="H14" s="46" t="n">
        <v>3.95559851540383E-008</v>
      </c>
      <c r="I14" s="46" t="n">
        <v>8.70231673388843E-007</v>
      </c>
      <c r="J14" s="0" t="n">
        <v>10</v>
      </c>
      <c r="K14" s="0" t="n">
        <v>26</v>
      </c>
      <c r="L14" s="0" t="n">
        <v>0.00218799966338466</v>
      </c>
      <c r="M14" s="0" t="n">
        <v>9606</v>
      </c>
      <c r="N14" s="0" t="s">
        <v>709</v>
      </c>
      <c r="O14" s="0" t="s">
        <v>762</v>
      </c>
      <c r="P14" s="0" t="s">
        <v>762</v>
      </c>
      <c r="Q14" s="0" t="s">
        <v>562</v>
      </c>
      <c r="R14" s="0" t="s">
        <v>335</v>
      </c>
      <c r="S14" s="0" t="s">
        <v>763</v>
      </c>
      <c r="T14" s="0" t="s">
        <v>764</v>
      </c>
      <c r="U14" s="0" t="s">
        <v>765</v>
      </c>
    </row>
    <row r="15" customFormat="false" ht="15" hidden="false" customHeight="false" outlineLevel="0" collapsed="false">
      <c r="A15" s="0" t="s">
        <v>766</v>
      </c>
      <c r="B15" s="0" t="s">
        <v>767</v>
      </c>
      <c r="C15" s="0" t="n">
        <v>4</v>
      </c>
      <c r="D15" s="0" t="n">
        <v>10</v>
      </c>
      <c r="E15" s="0" t="n">
        <v>1</v>
      </c>
      <c r="F15" s="0" t="n">
        <v>25</v>
      </c>
      <c r="G15" s="46" t="n">
        <v>0.000896539358077819</v>
      </c>
      <c r="H15" s="46" t="n">
        <v>5.43550306986162E-008</v>
      </c>
      <c r="I15" s="46" t="n">
        <v>1.14145564467094E-006</v>
      </c>
      <c r="J15" s="0" t="n">
        <v>3</v>
      </c>
      <c r="K15" s="0" t="n">
        <v>3</v>
      </c>
      <c r="L15" s="46" t="n">
        <v>0.000252461499621307</v>
      </c>
      <c r="M15" s="0" t="n">
        <v>9606</v>
      </c>
      <c r="N15" s="0" t="s">
        <v>709</v>
      </c>
      <c r="O15" s="0" t="s">
        <v>768</v>
      </c>
      <c r="P15" s="0" t="s">
        <v>768</v>
      </c>
      <c r="Q15" s="0" t="s">
        <v>562</v>
      </c>
      <c r="R15" s="0" t="s">
        <v>763</v>
      </c>
      <c r="S15" s="0" t="s">
        <v>769</v>
      </c>
    </row>
    <row r="16" customFormat="false" ht="15" hidden="false" customHeight="false" outlineLevel="0" collapsed="false">
      <c r="A16" s="0" t="s">
        <v>770</v>
      </c>
      <c r="B16" s="0" t="s">
        <v>771</v>
      </c>
      <c r="C16" s="0" t="n">
        <v>4</v>
      </c>
      <c r="D16" s="0" t="n">
        <v>10</v>
      </c>
      <c r="E16" s="0" t="n">
        <v>3</v>
      </c>
      <c r="F16" s="0" t="n">
        <v>33</v>
      </c>
      <c r="G16" s="46" t="n">
        <v>0.000896539358077819</v>
      </c>
      <c r="H16" s="46" t="n">
        <v>1.18419744676856E-007</v>
      </c>
      <c r="I16" s="46" t="n">
        <v>2.24997514886027E-006</v>
      </c>
      <c r="J16" s="0" t="n">
        <v>5</v>
      </c>
      <c r="K16" s="0" t="n">
        <v>5</v>
      </c>
      <c r="L16" s="46" t="n">
        <v>0.000420769166035512</v>
      </c>
      <c r="M16" s="0" t="n">
        <v>9606</v>
      </c>
      <c r="N16" s="0" t="s">
        <v>709</v>
      </c>
      <c r="O16" s="0" t="s">
        <v>768</v>
      </c>
      <c r="P16" s="0" t="s">
        <v>768</v>
      </c>
      <c r="Q16" s="0" t="s">
        <v>566</v>
      </c>
      <c r="R16" s="0" t="s">
        <v>562</v>
      </c>
      <c r="S16" s="0" t="s">
        <v>372</v>
      </c>
      <c r="T16" s="0" t="s">
        <v>372</v>
      </c>
      <c r="U16" s="0" t="s">
        <v>566</v>
      </c>
      <c r="V16" s="0" t="s">
        <v>772</v>
      </c>
    </row>
    <row r="17" customFormat="false" ht="15" hidden="false" customHeight="false" outlineLevel="0" collapsed="false">
      <c r="A17" s="0" t="s">
        <v>773</v>
      </c>
      <c r="B17" s="0" t="s">
        <v>774</v>
      </c>
      <c r="C17" s="0" t="n">
        <v>4</v>
      </c>
      <c r="D17" s="0" t="n">
        <v>33</v>
      </c>
      <c r="E17" s="0" t="n">
        <v>3</v>
      </c>
      <c r="F17" s="0" t="n">
        <v>73</v>
      </c>
      <c r="G17" s="0" t="n">
        <v>0.0029585798816568</v>
      </c>
      <c r="H17" s="46" t="n">
        <v>4.44174471203595E-007</v>
      </c>
      <c r="I17" s="46" t="n">
        <v>7.99514048166472E-006</v>
      </c>
      <c r="J17" s="0" t="n">
        <v>16</v>
      </c>
      <c r="K17" s="0" t="n">
        <v>30</v>
      </c>
      <c r="L17" s="0" t="n">
        <v>0.00252461499621307</v>
      </c>
      <c r="M17" s="0" t="n">
        <v>9606</v>
      </c>
      <c r="N17" s="0" t="s">
        <v>709</v>
      </c>
      <c r="O17" s="0" t="s">
        <v>768</v>
      </c>
      <c r="P17" s="0" t="s">
        <v>768</v>
      </c>
      <c r="Q17" s="0" t="s">
        <v>547</v>
      </c>
      <c r="R17" s="0" t="s">
        <v>566</v>
      </c>
      <c r="S17" s="0" t="s">
        <v>562</v>
      </c>
      <c r="T17" s="0" t="s">
        <v>775</v>
      </c>
      <c r="U17" s="0" t="s">
        <v>776</v>
      </c>
      <c r="V17" s="0" t="s">
        <v>566</v>
      </c>
      <c r="W17" s="0" t="s">
        <v>763</v>
      </c>
      <c r="X17" s="0" t="s">
        <v>777</v>
      </c>
    </row>
    <row r="18" customFormat="false" ht="15" hidden="false" customHeight="false" outlineLevel="0" collapsed="false">
      <c r="A18" s="0" t="s">
        <v>778</v>
      </c>
      <c r="B18" s="0" t="s">
        <v>779</v>
      </c>
      <c r="C18" s="0" t="n">
        <v>3</v>
      </c>
      <c r="D18" s="0" t="n">
        <v>8</v>
      </c>
      <c r="E18" s="0" t="n">
        <v>0</v>
      </c>
      <c r="F18" s="0" t="n">
        <v>0</v>
      </c>
      <c r="G18" s="46" t="n">
        <v>0.000717231486462255</v>
      </c>
      <c r="H18" s="46" t="n">
        <v>1.69334250166297E-006</v>
      </c>
      <c r="I18" s="46" t="n">
        <v>2.87868225282705E-005</v>
      </c>
      <c r="J18" s="0" t="n">
        <v>4</v>
      </c>
      <c r="K18" s="0" t="n">
        <v>5</v>
      </c>
      <c r="L18" s="46" t="n">
        <v>0.000420769166035512</v>
      </c>
      <c r="M18" s="0" t="n">
        <v>9606</v>
      </c>
      <c r="N18" s="0" t="s">
        <v>709</v>
      </c>
      <c r="O18" s="0" t="s">
        <v>780</v>
      </c>
      <c r="P18" s="0" t="s">
        <v>780</v>
      </c>
      <c r="S18" s="0" t="s">
        <v>781</v>
      </c>
    </row>
    <row r="19" customFormat="false" ht="15" hidden="false" customHeight="false" outlineLevel="0" collapsed="false">
      <c r="A19" s="0" t="s">
        <v>782</v>
      </c>
      <c r="B19" s="0" t="s">
        <v>783</v>
      </c>
      <c r="C19" s="0" t="n">
        <v>5</v>
      </c>
      <c r="D19" s="0" t="n">
        <v>48</v>
      </c>
      <c r="E19" s="0" t="n">
        <v>2</v>
      </c>
      <c r="F19" s="0" t="n">
        <v>107</v>
      </c>
      <c r="G19" s="0" t="n">
        <v>0.00430338891877353</v>
      </c>
      <c r="H19" s="46" t="n">
        <v>3.84233344397078E-006</v>
      </c>
      <c r="I19" s="46" t="n">
        <v>6.14773351035324E-005</v>
      </c>
      <c r="J19" s="0" t="n">
        <v>10</v>
      </c>
      <c r="K19" s="0" t="n">
        <v>32</v>
      </c>
      <c r="L19" s="0" t="n">
        <v>0.00269292266262728</v>
      </c>
      <c r="M19" s="0" t="n">
        <v>9606</v>
      </c>
      <c r="N19" s="0" t="s">
        <v>709</v>
      </c>
      <c r="O19" s="0" t="s">
        <v>762</v>
      </c>
      <c r="P19" s="0" t="s">
        <v>762</v>
      </c>
      <c r="Q19" s="0" t="s">
        <v>562</v>
      </c>
      <c r="R19" s="0" t="s">
        <v>335</v>
      </c>
      <c r="S19" s="0" t="s">
        <v>763</v>
      </c>
      <c r="T19" s="0" t="s">
        <v>764</v>
      </c>
      <c r="U19" s="0" t="s">
        <v>765</v>
      </c>
    </row>
    <row r="20" customFormat="false" ht="15" hidden="false" customHeight="false" outlineLevel="0" collapsed="false">
      <c r="A20" s="0" t="s">
        <v>784</v>
      </c>
      <c r="B20" s="0" t="s">
        <v>785</v>
      </c>
      <c r="C20" s="0" t="n">
        <v>4</v>
      </c>
      <c r="D20" s="0" t="n">
        <v>19</v>
      </c>
      <c r="E20" s="0" t="n">
        <v>3</v>
      </c>
      <c r="F20" s="0" t="n">
        <v>68</v>
      </c>
      <c r="G20" s="0" t="n">
        <v>0.00170342478034785</v>
      </c>
      <c r="H20" s="46" t="n">
        <v>4.14046084717956E-006</v>
      </c>
      <c r="I20" s="46" t="n">
        <v>6.21069127076934E-005</v>
      </c>
      <c r="J20" s="0" t="n">
        <v>16</v>
      </c>
      <c r="K20" s="0" t="n">
        <v>19</v>
      </c>
      <c r="L20" s="0" t="n">
        <v>0.00159892283093494</v>
      </c>
      <c r="M20" s="0" t="n">
        <v>9606</v>
      </c>
      <c r="N20" s="0" t="s">
        <v>709</v>
      </c>
      <c r="O20" s="0" t="s">
        <v>768</v>
      </c>
      <c r="P20" s="0" t="s">
        <v>768</v>
      </c>
      <c r="Q20" s="0" t="s">
        <v>566</v>
      </c>
      <c r="R20" s="0" t="s">
        <v>562</v>
      </c>
      <c r="S20" s="0" t="s">
        <v>372</v>
      </c>
      <c r="T20" s="0" t="s">
        <v>372</v>
      </c>
      <c r="U20" s="0" t="s">
        <v>566</v>
      </c>
      <c r="V20" s="0" t="s">
        <v>786</v>
      </c>
    </row>
    <row r="21" customFormat="false" ht="15" hidden="false" customHeight="false" outlineLevel="0" collapsed="false">
      <c r="A21" s="0" t="s">
        <v>787</v>
      </c>
      <c r="B21" s="0" t="s">
        <v>788</v>
      </c>
      <c r="C21" s="0" t="n">
        <v>5</v>
      </c>
      <c r="D21" s="0" t="n">
        <v>100</v>
      </c>
      <c r="E21" s="0" t="n">
        <v>2</v>
      </c>
      <c r="F21" s="0" t="n">
        <v>64</v>
      </c>
      <c r="G21" s="0" t="n">
        <v>0.00896539358077819</v>
      </c>
      <c r="H21" s="46" t="n">
        <v>5.34926467576912E-006</v>
      </c>
      <c r="I21" s="46" t="n">
        <v>8.02389701365369E-005</v>
      </c>
      <c r="J21" s="0" t="n">
        <v>10</v>
      </c>
      <c r="K21" s="0" t="n">
        <v>80</v>
      </c>
      <c r="L21" s="0" t="n">
        <v>0.0067323066565682</v>
      </c>
      <c r="M21" s="0" t="n">
        <v>9606</v>
      </c>
      <c r="N21" s="0" t="s">
        <v>709</v>
      </c>
      <c r="O21" s="0" t="s">
        <v>762</v>
      </c>
      <c r="P21" s="0" t="s">
        <v>762</v>
      </c>
      <c r="Q21" s="0" t="s">
        <v>562</v>
      </c>
      <c r="R21" s="0" t="s">
        <v>335</v>
      </c>
      <c r="S21" s="0" t="s">
        <v>763</v>
      </c>
      <c r="T21" s="0" t="s">
        <v>764</v>
      </c>
      <c r="U21" s="0" t="s">
        <v>765</v>
      </c>
    </row>
    <row r="22" customFormat="false" ht="15" hidden="false" customHeight="false" outlineLevel="0" collapsed="false">
      <c r="A22" s="0" t="s">
        <v>789</v>
      </c>
      <c r="B22" s="0" t="s">
        <v>790</v>
      </c>
      <c r="C22" s="0" t="n">
        <v>6</v>
      </c>
      <c r="D22" s="0" t="n">
        <v>129</v>
      </c>
      <c r="E22" s="0" t="n">
        <v>0</v>
      </c>
      <c r="F22" s="0" t="n">
        <v>51</v>
      </c>
      <c r="G22" s="0" t="n">
        <v>0.0115653577192038</v>
      </c>
      <c r="H22" s="46" t="n">
        <v>1.04459517555888E-005</v>
      </c>
      <c r="I22" s="46" t="n">
        <v>0.000146243324578243</v>
      </c>
      <c r="J22" s="0" t="n">
        <v>24</v>
      </c>
      <c r="K22" s="0" t="n">
        <v>33</v>
      </c>
      <c r="L22" s="0" t="n">
        <v>0.00277707649583438</v>
      </c>
      <c r="M22" s="0" t="n">
        <v>9606</v>
      </c>
      <c r="N22" s="0" t="s">
        <v>709</v>
      </c>
      <c r="O22" s="0" t="s">
        <v>791</v>
      </c>
      <c r="P22" s="0" t="s">
        <v>791</v>
      </c>
      <c r="S22" s="0" t="s">
        <v>792</v>
      </c>
    </row>
    <row r="23" customFormat="false" ht="15" hidden="false" customHeight="false" outlineLevel="0" collapsed="false">
      <c r="A23" s="0" t="s">
        <v>793</v>
      </c>
      <c r="B23" s="0" t="s">
        <v>794</v>
      </c>
      <c r="C23" s="0" t="n">
        <v>5</v>
      </c>
      <c r="D23" s="0" t="n">
        <v>99</v>
      </c>
      <c r="E23" s="0" t="n">
        <v>0</v>
      </c>
      <c r="F23" s="0" t="n">
        <v>12</v>
      </c>
      <c r="G23" s="0" t="n">
        <v>0.00887573964497041</v>
      </c>
      <c r="H23" s="46" t="n">
        <v>1.42709931085782E-005</v>
      </c>
      <c r="I23" s="46" t="n">
        <v>0.000185522910411517</v>
      </c>
      <c r="J23" s="0" t="n">
        <v>10</v>
      </c>
      <c r="K23" s="0" t="n">
        <v>12</v>
      </c>
      <c r="L23" s="0" t="n">
        <v>0.00100984599848523</v>
      </c>
      <c r="M23" s="0" t="n">
        <v>9606</v>
      </c>
      <c r="N23" s="0" t="s">
        <v>709</v>
      </c>
      <c r="O23" s="0" t="s">
        <v>795</v>
      </c>
      <c r="P23" s="0" t="s">
        <v>795</v>
      </c>
      <c r="S23" s="0" t="s">
        <v>796</v>
      </c>
    </row>
    <row r="24" customFormat="false" ht="15" hidden="false" customHeight="false" outlineLevel="0" collapsed="false">
      <c r="A24" s="0" t="s">
        <v>797</v>
      </c>
      <c r="B24" s="0" t="s">
        <v>798</v>
      </c>
      <c r="C24" s="0" t="n">
        <v>4</v>
      </c>
      <c r="D24" s="0" t="n">
        <v>72</v>
      </c>
      <c r="E24" s="0" t="n">
        <v>5</v>
      </c>
      <c r="F24" s="0" t="n">
        <v>168</v>
      </c>
      <c r="G24" s="0" t="n">
        <v>0.0064550833781603</v>
      </c>
      <c r="H24" s="46" t="n">
        <v>4.12698616679696E-005</v>
      </c>
      <c r="I24" s="46" t="n">
        <v>0.000536508201683605</v>
      </c>
      <c r="J24" s="0" t="n">
        <v>53</v>
      </c>
      <c r="K24" s="0" t="n">
        <v>83</v>
      </c>
      <c r="L24" s="0" t="n">
        <v>0.00698476815618951</v>
      </c>
      <c r="M24" s="0" t="n">
        <v>9606</v>
      </c>
      <c r="N24" s="0" t="s">
        <v>709</v>
      </c>
      <c r="O24" s="0" t="s">
        <v>768</v>
      </c>
      <c r="P24" s="0" t="s">
        <v>768</v>
      </c>
      <c r="Q24" s="0" t="s">
        <v>547</v>
      </c>
      <c r="R24" s="0" t="s">
        <v>566</v>
      </c>
      <c r="S24" s="0" t="s">
        <v>562</v>
      </c>
      <c r="T24" s="0" t="s">
        <v>372</v>
      </c>
      <c r="U24" s="0" t="s">
        <v>335</v>
      </c>
      <c r="V24" s="0" t="s">
        <v>372</v>
      </c>
      <c r="W24" s="0" t="s">
        <v>775</v>
      </c>
      <c r="X24" s="0" t="s">
        <v>776</v>
      </c>
      <c r="Y24" s="0" t="s">
        <v>566</v>
      </c>
      <c r="Z24" s="0" t="s">
        <v>763</v>
      </c>
      <c r="AA24" s="0" t="s">
        <v>764</v>
      </c>
      <c r="AB24" s="0" t="s">
        <v>799</v>
      </c>
    </row>
    <row r="25" customFormat="false" ht="15" hidden="false" customHeight="false" outlineLevel="0" collapsed="false">
      <c r="A25" s="0" t="s">
        <v>800</v>
      </c>
      <c r="B25" s="0" t="s">
        <v>801</v>
      </c>
      <c r="C25" s="0" t="n">
        <v>8</v>
      </c>
      <c r="D25" s="0" t="n">
        <v>480</v>
      </c>
      <c r="E25" s="0" t="n">
        <v>0</v>
      </c>
      <c r="F25" s="0" t="n">
        <v>0</v>
      </c>
      <c r="G25" s="0" t="n">
        <v>0.0430338891877353</v>
      </c>
      <c r="H25" s="46" t="n">
        <v>4.94464662269544E-005</v>
      </c>
      <c r="I25" s="46" t="n">
        <v>0.000593357594723453</v>
      </c>
      <c r="J25" s="0" t="n">
        <v>5</v>
      </c>
      <c r="K25" s="0" t="n">
        <v>10</v>
      </c>
      <c r="L25" s="46" t="n">
        <v>0.000841538332071025</v>
      </c>
      <c r="M25" s="0" t="n">
        <v>9606</v>
      </c>
      <c r="N25" s="0" t="s">
        <v>709</v>
      </c>
      <c r="O25" s="0" t="s">
        <v>802</v>
      </c>
      <c r="P25" s="0" t="s">
        <v>802</v>
      </c>
      <c r="S25" s="0" t="s">
        <v>803</v>
      </c>
    </row>
    <row r="26" customFormat="false" ht="15" hidden="false" customHeight="false" outlineLevel="0" collapsed="false">
      <c r="A26" s="0" t="s">
        <v>804</v>
      </c>
      <c r="B26" s="0" t="s">
        <v>805</v>
      </c>
      <c r="C26" s="0" t="n">
        <v>23</v>
      </c>
      <c r="D26" s="0" t="n">
        <v>2370</v>
      </c>
      <c r="E26" s="0" t="n">
        <v>7</v>
      </c>
      <c r="F26" s="0" t="n">
        <v>3315</v>
      </c>
      <c r="G26" s="0" t="n">
        <v>0.212479827864443</v>
      </c>
      <c r="H26" s="46" t="n">
        <v>6.27748159887087E-005</v>
      </c>
      <c r="I26" s="46" t="n">
        <v>0.000753297791864504</v>
      </c>
      <c r="J26" s="0" t="n">
        <v>81</v>
      </c>
      <c r="K26" s="0" t="n">
        <v>1551</v>
      </c>
      <c r="L26" s="0" t="n">
        <v>0.130522595304216</v>
      </c>
      <c r="M26" s="0" t="n">
        <v>9606</v>
      </c>
      <c r="N26" s="0" t="s">
        <v>709</v>
      </c>
      <c r="O26" s="0" t="s">
        <v>806</v>
      </c>
      <c r="P26" s="0" t="s">
        <v>806</v>
      </c>
      <c r="Q26" s="0" t="s">
        <v>235</v>
      </c>
      <c r="R26" s="0" t="s">
        <v>235</v>
      </c>
      <c r="S26" s="0" t="s">
        <v>558</v>
      </c>
      <c r="T26" s="0" t="s">
        <v>579</v>
      </c>
      <c r="U26" s="0" t="s">
        <v>395</v>
      </c>
      <c r="V26" s="0" t="s">
        <v>547</v>
      </c>
      <c r="W26" s="0" t="s">
        <v>569</v>
      </c>
      <c r="X26" s="0" t="s">
        <v>395</v>
      </c>
      <c r="Y26" s="0" t="s">
        <v>742</v>
      </c>
      <c r="Z26" s="0" t="s">
        <v>235</v>
      </c>
      <c r="AA26" s="0" t="s">
        <v>749</v>
      </c>
      <c r="AB26" s="0" t="s">
        <v>807</v>
      </c>
      <c r="AC26" s="0" t="s">
        <v>743</v>
      </c>
      <c r="AD26" s="0" t="s">
        <v>744</v>
      </c>
      <c r="AE26" s="0" t="s">
        <v>808</v>
      </c>
    </row>
    <row r="27" customFormat="false" ht="15" hidden="false" customHeight="false" outlineLevel="0" collapsed="false">
      <c r="A27" s="0" t="s">
        <v>809</v>
      </c>
      <c r="B27" s="0" t="s">
        <v>810</v>
      </c>
      <c r="C27" s="0" t="n">
        <v>1</v>
      </c>
      <c r="D27" s="0" t="n">
        <v>4</v>
      </c>
      <c r="E27" s="0" t="n">
        <v>1</v>
      </c>
      <c r="F27" s="0" t="n">
        <v>2</v>
      </c>
      <c r="G27" s="46" t="n">
        <v>0.000358615743231127</v>
      </c>
      <c r="H27" s="46" t="n">
        <v>0.000134812955716712</v>
      </c>
      <c r="I27" s="0" t="n">
        <v>0.00148294251288383</v>
      </c>
      <c r="J27" s="0" t="n">
        <v>2</v>
      </c>
      <c r="K27" s="0" t="n">
        <v>2</v>
      </c>
      <c r="L27" s="46" t="n">
        <v>0.000168307666414205</v>
      </c>
      <c r="M27" s="0" t="n">
        <v>9606</v>
      </c>
      <c r="N27" s="0" t="s">
        <v>709</v>
      </c>
      <c r="O27" s="0" t="s">
        <v>335</v>
      </c>
      <c r="P27" s="0" t="s">
        <v>335</v>
      </c>
      <c r="Q27" s="0" t="s">
        <v>547</v>
      </c>
      <c r="R27" s="0" t="s">
        <v>776</v>
      </c>
      <c r="S27" s="0" t="s">
        <v>811</v>
      </c>
    </row>
    <row r="28" customFormat="false" ht="15" hidden="false" customHeight="false" outlineLevel="0" collapsed="false">
      <c r="A28" s="0" t="s">
        <v>812</v>
      </c>
      <c r="B28" s="0" t="s">
        <v>813</v>
      </c>
      <c r="C28" s="0" t="n">
        <v>7</v>
      </c>
      <c r="D28" s="0" t="n">
        <v>408</v>
      </c>
      <c r="E28" s="0" t="n">
        <v>3</v>
      </c>
      <c r="F28" s="0" t="n">
        <v>381</v>
      </c>
      <c r="G28" s="0" t="n">
        <v>0.036578805809575</v>
      </c>
      <c r="H28" s="46" t="n">
        <v>0.000254679445582661</v>
      </c>
      <c r="I28" s="0" t="n">
        <v>0.00280147390140927</v>
      </c>
      <c r="J28" s="0" t="n">
        <v>15</v>
      </c>
      <c r="K28" s="0" t="n">
        <v>152</v>
      </c>
      <c r="L28" s="0" t="n">
        <v>0.0127913826474795</v>
      </c>
      <c r="M28" s="0" t="n">
        <v>9606</v>
      </c>
      <c r="N28" s="0" t="s">
        <v>709</v>
      </c>
      <c r="O28" s="0" t="s">
        <v>814</v>
      </c>
      <c r="P28" s="0" t="s">
        <v>814</v>
      </c>
      <c r="Q28" s="0" t="s">
        <v>547</v>
      </c>
      <c r="R28" s="0" t="s">
        <v>562</v>
      </c>
      <c r="S28" s="0" t="s">
        <v>335</v>
      </c>
      <c r="T28" s="0" t="s">
        <v>815</v>
      </c>
      <c r="U28" s="0" t="s">
        <v>763</v>
      </c>
      <c r="V28" s="0" t="s">
        <v>764</v>
      </c>
      <c r="W28" s="0" t="s">
        <v>816</v>
      </c>
    </row>
    <row r="29" customFormat="false" ht="15" hidden="false" customHeight="false" outlineLevel="0" collapsed="false">
      <c r="A29" s="0" t="s">
        <v>817</v>
      </c>
      <c r="B29" s="0" t="s">
        <v>818</v>
      </c>
      <c r="C29" s="0" t="n">
        <v>2</v>
      </c>
      <c r="D29" s="0" t="n">
        <v>13</v>
      </c>
      <c r="E29" s="0" t="n">
        <v>1</v>
      </c>
      <c r="F29" s="0" t="n">
        <v>33</v>
      </c>
      <c r="G29" s="0" t="n">
        <v>0.00116550116550116</v>
      </c>
      <c r="H29" s="46" t="n">
        <v>0.000298948509007246</v>
      </c>
      <c r="I29" s="0" t="n">
        <v>0.00298948509007246</v>
      </c>
      <c r="J29" s="0" t="n">
        <v>16</v>
      </c>
      <c r="K29" s="0" t="n">
        <v>19</v>
      </c>
      <c r="L29" s="0" t="n">
        <v>0.00159892283093494</v>
      </c>
      <c r="M29" s="0" t="n">
        <v>9606</v>
      </c>
      <c r="N29" s="0" t="s">
        <v>709</v>
      </c>
      <c r="O29" s="0" t="s">
        <v>819</v>
      </c>
      <c r="P29" s="0" t="s">
        <v>819</v>
      </c>
      <c r="Q29" s="0" t="s">
        <v>297</v>
      </c>
      <c r="R29" s="0" t="s">
        <v>750</v>
      </c>
      <c r="S29" s="0" t="s">
        <v>820</v>
      </c>
    </row>
    <row r="30" customFormat="false" ht="15" hidden="false" customHeight="false" outlineLevel="0" collapsed="false">
      <c r="A30" s="0" t="s">
        <v>821</v>
      </c>
      <c r="B30" s="0" t="s">
        <v>822</v>
      </c>
      <c r="C30" s="0" t="n">
        <v>3</v>
      </c>
      <c r="D30" s="0" t="n">
        <v>111</v>
      </c>
      <c r="E30" s="0" t="n">
        <v>1</v>
      </c>
      <c r="F30" s="0" t="n">
        <v>20</v>
      </c>
      <c r="G30" s="0" t="n">
        <v>0.00995158687466379</v>
      </c>
      <c r="H30" s="46" t="n">
        <v>0.000493549076043597</v>
      </c>
      <c r="I30" s="0" t="n">
        <v>0.00493549076043597</v>
      </c>
      <c r="J30" s="0" t="n">
        <v>15</v>
      </c>
      <c r="K30" s="0" t="n">
        <v>21</v>
      </c>
      <c r="L30" s="0" t="n">
        <v>0.00176723049734915</v>
      </c>
      <c r="M30" s="0" t="n">
        <v>9606</v>
      </c>
      <c r="N30" s="0" t="s">
        <v>709</v>
      </c>
      <c r="O30" s="0" t="s">
        <v>823</v>
      </c>
      <c r="P30" s="0" t="s">
        <v>823</v>
      </c>
      <c r="Q30" s="0" t="s">
        <v>395</v>
      </c>
      <c r="R30" s="0" t="s">
        <v>235</v>
      </c>
      <c r="S30" s="0" t="s">
        <v>824</v>
      </c>
    </row>
    <row r="31" customFormat="false" ht="15" hidden="false" customHeight="false" outlineLevel="0" collapsed="false">
      <c r="A31" s="0" t="s">
        <v>825</v>
      </c>
      <c r="B31" s="0" t="s">
        <v>826</v>
      </c>
      <c r="C31" s="0" t="n">
        <v>5</v>
      </c>
      <c r="D31" s="0" t="n">
        <v>192</v>
      </c>
      <c r="E31" s="0" t="n">
        <v>2</v>
      </c>
      <c r="F31" s="0" t="n">
        <v>189</v>
      </c>
      <c r="G31" s="0" t="n">
        <v>0.0172135556750941</v>
      </c>
      <c r="H31" s="46" t="n">
        <v>0.000495309637356777</v>
      </c>
      <c r="I31" s="0" t="n">
        <v>0.00495309637356777</v>
      </c>
      <c r="J31" s="0" t="n">
        <v>10</v>
      </c>
      <c r="K31" s="0" t="n">
        <v>185</v>
      </c>
      <c r="L31" s="0" t="n">
        <v>0.0155684591433139</v>
      </c>
      <c r="M31" s="0" t="n">
        <v>9606</v>
      </c>
      <c r="N31" s="0" t="s">
        <v>709</v>
      </c>
      <c r="O31" s="0" t="s">
        <v>762</v>
      </c>
      <c r="P31" s="0" t="s">
        <v>762</v>
      </c>
      <c r="Q31" s="0" t="s">
        <v>562</v>
      </c>
      <c r="R31" s="0" t="s">
        <v>335</v>
      </c>
      <c r="S31" s="0" t="s">
        <v>763</v>
      </c>
      <c r="T31" s="0" t="s">
        <v>764</v>
      </c>
      <c r="U31" s="0" t="s">
        <v>765</v>
      </c>
    </row>
    <row r="32" customFormat="false" ht="15" hidden="false" customHeight="false" outlineLevel="0" collapsed="false">
      <c r="A32" s="0" t="s">
        <v>827</v>
      </c>
      <c r="B32" s="0" t="s">
        <v>828</v>
      </c>
      <c r="C32" s="0" t="n">
        <v>1</v>
      </c>
      <c r="D32" s="0" t="n">
        <v>5</v>
      </c>
      <c r="E32" s="0" t="n">
        <v>2</v>
      </c>
      <c r="F32" s="0" t="n">
        <v>9</v>
      </c>
      <c r="G32" s="46" t="n">
        <v>0.000448269679038909</v>
      </c>
      <c r="H32" s="46" t="n">
        <v>0.000625069642794184</v>
      </c>
      <c r="I32" s="0" t="n">
        <v>0.00562562678514766</v>
      </c>
      <c r="J32" s="0" t="n">
        <v>5</v>
      </c>
      <c r="K32" s="0" t="n">
        <v>5</v>
      </c>
      <c r="L32" s="46" t="n">
        <v>0.000420769166035512</v>
      </c>
      <c r="M32" s="0" t="n">
        <v>9606</v>
      </c>
      <c r="N32" s="0" t="s">
        <v>709</v>
      </c>
      <c r="O32" s="0" t="s">
        <v>566</v>
      </c>
      <c r="P32" s="0" t="s">
        <v>566</v>
      </c>
      <c r="Q32" s="0" t="s">
        <v>566</v>
      </c>
      <c r="R32" s="0" t="s">
        <v>562</v>
      </c>
      <c r="S32" s="0" t="s">
        <v>566</v>
      </c>
      <c r="T32" s="0" t="s">
        <v>829</v>
      </c>
    </row>
    <row r="33" customFormat="false" ht="15" hidden="false" customHeight="false" outlineLevel="0" collapsed="false">
      <c r="A33" s="0" t="s">
        <v>830</v>
      </c>
      <c r="B33" s="0" t="s">
        <v>831</v>
      </c>
      <c r="C33" s="0" t="n">
        <v>1</v>
      </c>
      <c r="D33" s="0" t="n">
        <v>5</v>
      </c>
      <c r="E33" s="0" t="n">
        <v>1</v>
      </c>
      <c r="F33" s="0" t="n">
        <v>10</v>
      </c>
      <c r="G33" s="46" t="n">
        <v>0.000448269679038909</v>
      </c>
      <c r="H33" s="46" t="n">
        <v>0.00082925136929679</v>
      </c>
      <c r="I33" s="0" t="n">
        <v>0.00746326232367111</v>
      </c>
      <c r="J33" s="0" t="n">
        <v>9</v>
      </c>
      <c r="K33" s="0" t="n">
        <v>9</v>
      </c>
      <c r="L33" s="46" t="n">
        <v>0.000757384498863923</v>
      </c>
      <c r="M33" s="0" t="n">
        <v>9606</v>
      </c>
      <c r="N33" s="0" t="s">
        <v>709</v>
      </c>
      <c r="O33" s="0" t="s">
        <v>235</v>
      </c>
      <c r="P33" s="0" t="s">
        <v>235</v>
      </c>
      <c r="Q33" s="0" t="s">
        <v>395</v>
      </c>
      <c r="R33" s="0" t="s">
        <v>235</v>
      </c>
      <c r="S33" s="0" t="s">
        <v>832</v>
      </c>
    </row>
    <row r="34" customFormat="false" ht="15" hidden="false" customHeight="false" outlineLevel="0" collapsed="false">
      <c r="A34" s="0" t="s">
        <v>833</v>
      </c>
      <c r="B34" s="0" t="s">
        <v>834</v>
      </c>
      <c r="C34" s="0" t="n">
        <v>1</v>
      </c>
      <c r="D34" s="0" t="n">
        <v>8</v>
      </c>
      <c r="E34" s="0" t="n">
        <v>2</v>
      </c>
      <c r="F34" s="0" t="n">
        <v>8</v>
      </c>
      <c r="G34" s="46" t="n">
        <v>0.000717231486462255</v>
      </c>
      <c r="H34" s="46" t="n">
        <v>0.00082925136929679</v>
      </c>
      <c r="I34" s="0" t="n">
        <v>0.00746326232367111</v>
      </c>
      <c r="J34" s="0" t="n">
        <v>6</v>
      </c>
      <c r="K34" s="0" t="n">
        <v>9</v>
      </c>
      <c r="L34" s="46" t="n">
        <v>0.000757384498863923</v>
      </c>
      <c r="M34" s="0" t="n">
        <v>9606</v>
      </c>
      <c r="N34" s="0" t="s">
        <v>709</v>
      </c>
      <c r="O34" s="0" t="s">
        <v>566</v>
      </c>
      <c r="P34" s="0" t="s">
        <v>566</v>
      </c>
      <c r="Q34" s="0" t="s">
        <v>566</v>
      </c>
      <c r="R34" s="0" t="s">
        <v>562</v>
      </c>
      <c r="S34" s="0" t="s">
        <v>566</v>
      </c>
      <c r="T34" s="0" t="s">
        <v>835</v>
      </c>
    </row>
    <row r="35" customFormat="false" ht="15" hidden="false" customHeight="false" outlineLevel="0" collapsed="false">
      <c r="A35" s="0" t="s">
        <v>836</v>
      </c>
      <c r="B35" s="0" t="s">
        <v>837</v>
      </c>
      <c r="C35" s="0" t="n">
        <v>2</v>
      </c>
      <c r="D35" s="0" t="n">
        <v>9</v>
      </c>
      <c r="E35" s="0" t="n">
        <v>0</v>
      </c>
      <c r="F35" s="0" t="n">
        <v>8</v>
      </c>
      <c r="G35" s="46" t="n">
        <v>0.000806885422270037</v>
      </c>
      <c r="H35" s="46" t="n">
        <v>0.000941835031712079</v>
      </c>
      <c r="I35" s="0" t="n">
        <v>0.00847651528540871</v>
      </c>
      <c r="J35" s="0" t="n">
        <v>2</v>
      </c>
      <c r="K35" s="0" t="n">
        <v>9</v>
      </c>
      <c r="L35" s="46" t="n">
        <v>0.000757384498863923</v>
      </c>
      <c r="M35" s="0" t="n">
        <v>9606</v>
      </c>
      <c r="N35" s="0" t="s">
        <v>709</v>
      </c>
      <c r="O35" s="0" t="s">
        <v>838</v>
      </c>
      <c r="P35" s="0" t="s">
        <v>838</v>
      </c>
      <c r="S35" s="0" t="s">
        <v>839</v>
      </c>
    </row>
    <row r="36" customFormat="false" ht="15" hidden="false" customHeight="false" outlineLevel="0" collapsed="false">
      <c r="A36" s="0" t="s">
        <v>840</v>
      </c>
      <c r="B36" s="0" t="s">
        <v>841</v>
      </c>
      <c r="C36" s="0" t="n">
        <v>2</v>
      </c>
      <c r="D36" s="0" t="n">
        <v>10</v>
      </c>
      <c r="E36" s="0" t="n">
        <v>0</v>
      </c>
      <c r="F36" s="0" t="n">
        <v>8</v>
      </c>
      <c r="G36" s="46" t="n">
        <v>0.000896539358077819</v>
      </c>
      <c r="H36" s="0" t="n">
        <v>0.00106136326324624</v>
      </c>
      <c r="I36" s="0" t="n">
        <v>0.00849090610596992</v>
      </c>
      <c r="J36" s="0" t="n">
        <v>2</v>
      </c>
      <c r="K36" s="0" t="n">
        <v>9</v>
      </c>
      <c r="L36" s="46" t="n">
        <v>0.000757384498863923</v>
      </c>
      <c r="M36" s="0" t="n">
        <v>9606</v>
      </c>
      <c r="N36" s="0" t="s">
        <v>709</v>
      </c>
      <c r="O36" s="0" t="s">
        <v>838</v>
      </c>
      <c r="P36" s="0" t="s">
        <v>838</v>
      </c>
      <c r="S36" s="0" t="s">
        <v>842</v>
      </c>
    </row>
    <row r="37" customFormat="false" ht="15" hidden="false" customHeight="false" outlineLevel="0" collapsed="false">
      <c r="A37" s="0" t="s">
        <v>843</v>
      </c>
      <c r="B37" s="0" t="s">
        <v>844</v>
      </c>
      <c r="C37" s="0" t="n">
        <v>2</v>
      </c>
      <c r="D37" s="0" t="n">
        <v>33</v>
      </c>
      <c r="E37" s="0" t="n">
        <v>3</v>
      </c>
      <c r="F37" s="0" t="n">
        <v>47</v>
      </c>
      <c r="G37" s="0" t="n">
        <v>0.0029585798816568</v>
      </c>
      <c r="H37" s="0" t="n">
        <v>0.00108988983102908</v>
      </c>
      <c r="I37" s="0" t="n">
        <v>0.00871911864823271</v>
      </c>
      <c r="J37" s="0" t="n">
        <v>21</v>
      </c>
      <c r="K37" s="0" t="n">
        <v>34</v>
      </c>
      <c r="L37" s="0" t="n">
        <v>0.00286123032904148</v>
      </c>
      <c r="M37" s="0" t="n">
        <v>9606</v>
      </c>
      <c r="N37" s="0" t="s">
        <v>709</v>
      </c>
      <c r="O37" s="0" t="s">
        <v>845</v>
      </c>
      <c r="P37" s="0" t="s">
        <v>845</v>
      </c>
      <c r="Q37" s="0" t="s">
        <v>566</v>
      </c>
      <c r="R37" s="0" t="s">
        <v>562</v>
      </c>
      <c r="S37" s="0" t="s">
        <v>335</v>
      </c>
      <c r="T37" s="0" t="s">
        <v>566</v>
      </c>
      <c r="U37" s="0" t="s">
        <v>764</v>
      </c>
      <c r="V37" s="0" t="s">
        <v>846</v>
      </c>
    </row>
    <row r="38" customFormat="false" ht="15" hidden="false" customHeight="false" outlineLevel="0" collapsed="false">
      <c r="A38" s="0" t="s">
        <v>847</v>
      </c>
      <c r="B38" s="0" t="s">
        <v>848</v>
      </c>
      <c r="C38" s="0" t="n">
        <v>2</v>
      </c>
      <c r="D38" s="0" t="n">
        <v>19</v>
      </c>
      <c r="E38" s="0" t="n">
        <v>0</v>
      </c>
      <c r="F38" s="0" t="n">
        <v>0</v>
      </c>
      <c r="G38" s="0" t="n">
        <v>0.00170342478034785</v>
      </c>
      <c r="H38" s="0" t="n">
        <v>0.00132110243728222</v>
      </c>
      <c r="I38" s="0" t="n">
        <v>0.0105688194982578</v>
      </c>
      <c r="J38" s="0" t="n">
        <v>4</v>
      </c>
      <c r="K38" s="0" t="n">
        <v>10</v>
      </c>
      <c r="L38" s="46" t="n">
        <v>0.000841538332071025</v>
      </c>
      <c r="M38" s="0" t="n">
        <v>9606</v>
      </c>
      <c r="N38" s="0" t="s">
        <v>709</v>
      </c>
      <c r="O38" s="0" t="s">
        <v>845</v>
      </c>
      <c r="P38" s="0" t="s">
        <v>845</v>
      </c>
      <c r="S38" s="0" t="s">
        <v>849</v>
      </c>
    </row>
    <row r="39" customFormat="false" ht="15" hidden="false" customHeight="false" outlineLevel="0" collapsed="false">
      <c r="A39" s="0" t="s">
        <v>850</v>
      </c>
      <c r="B39" s="0" t="s">
        <v>851</v>
      </c>
      <c r="C39" s="0" t="n">
        <v>2</v>
      </c>
      <c r="D39" s="0" t="n">
        <v>10</v>
      </c>
      <c r="E39" s="0" t="n">
        <v>0</v>
      </c>
      <c r="F39" s="0" t="n">
        <v>14</v>
      </c>
      <c r="G39" s="46" t="n">
        <v>0.000896539358077819</v>
      </c>
      <c r="H39" s="0" t="n">
        <v>0.0019222629472273</v>
      </c>
      <c r="I39" s="0" t="n">
        <v>0.0146254740340331</v>
      </c>
      <c r="J39" s="0" t="n">
        <v>2</v>
      </c>
      <c r="K39" s="0" t="n">
        <v>9</v>
      </c>
      <c r="L39" s="46" t="n">
        <v>0.000757384498863923</v>
      </c>
      <c r="M39" s="0" t="n">
        <v>9606</v>
      </c>
      <c r="N39" s="0" t="s">
        <v>709</v>
      </c>
      <c r="O39" s="0" t="s">
        <v>838</v>
      </c>
      <c r="P39" s="0" t="s">
        <v>838</v>
      </c>
      <c r="S39" s="0" t="s">
        <v>852</v>
      </c>
    </row>
    <row r="40" customFormat="false" ht="15" hidden="false" customHeight="false" outlineLevel="0" collapsed="false">
      <c r="A40" s="0" t="s">
        <v>853</v>
      </c>
      <c r="B40" s="0" t="s">
        <v>854</v>
      </c>
      <c r="C40" s="0" t="n">
        <v>2</v>
      </c>
      <c r="D40" s="0" t="n">
        <v>11</v>
      </c>
      <c r="E40" s="0" t="n">
        <v>0</v>
      </c>
      <c r="F40" s="0" t="n">
        <v>14</v>
      </c>
      <c r="G40" s="46" t="n">
        <v>0.000986193293885601</v>
      </c>
      <c r="H40" s="0" t="n">
        <v>0.0020893534334333</v>
      </c>
      <c r="I40" s="0" t="n">
        <v>0.0146254740340331</v>
      </c>
      <c r="J40" s="0" t="n">
        <v>6</v>
      </c>
      <c r="K40" s="0" t="n">
        <v>27</v>
      </c>
      <c r="L40" s="0" t="n">
        <v>0.00227215349659176</v>
      </c>
      <c r="M40" s="0" t="n">
        <v>9606</v>
      </c>
      <c r="N40" s="0" t="s">
        <v>709</v>
      </c>
      <c r="O40" s="0" t="s">
        <v>838</v>
      </c>
      <c r="P40" s="0" t="s">
        <v>838</v>
      </c>
      <c r="S40" s="0" t="s">
        <v>855</v>
      </c>
    </row>
    <row r="41" customFormat="false" ht="15" hidden="false" customHeight="false" outlineLevel="0" collapsed="false">
      <c r="A41" s="0" t="s">
        <v>856</v>
      </c>
      <c r="B41" s="0" t="s">
        <v>857</v>
      </c>
      <c r="C41" s="0" t="n">
        <v>1</v>
      </c>
      <c r="D41" s="0" t="n">
        <v>7</v>
      </c>
      <c r="E41" s="0" t="n">
        <v>1</v>
      </c>
      <c r="F41" s="0" t="n">
        <v>20</v>
      </c>
      <c r="G41" s="46" t="n">
        <v>0.000627577550654473</v>
      </c>
      <c r="H41" s="0" t="n">
        <v>0.00263035705892766</v>
      </c>
      <c r="I41" s="0" t="n">
        <v>0.0184124994124936</v>
      </c>
      <c r="J41" s="0" t="n">
        <v>3</v>
      </c>
      <c r="K41" s="0" t="n">
        <v>3</v>
      </c>
      <c r="L41" s="46" t="n">
        <v>0.000252461499621307</v>
      </c>
      <c r="M41" s="0" t="n">
        <v>9606</v>
      </c>
      <c r="N41" s="0" t="s">
        <v>709</v>
      </c>
      <c r="O41" s="0" t="s">
        <v>235</v>
      </c>
      <c r="P41" s="0" t="s">
        <v>235</v>
      </c>
      <c r="Q41" s="0" t="s">
        <v>395</v>
      </c>
      <c r="R41" s="0" t="s">
        <v>235</v>
      </c>
      <c r="S41" s="0" t="s">
        <v>858</v>
      </c>
    </row>
    <row r="42" customFormat="false" ht="15" hidden="false" customHeight="false" outlineLevel="0" collapsed="false">
      <c r="A42" s="0" t="s">
        <v>859</v>
      </c>
      <c r="B42" s="0" t="s">
        <v>860</v>
      </c>
      <c r="C42" s="0" t="n">
        <v>2</v>
      </c>
      <c r="D42" s="0" t="n">
        <v>6</v>
      </c>
      <c r="E42" s="0" t="n">
        <v>0</v>
      </c>
      <c r="F42" s="0" t="n">
        <v>21</v>
      </c>
      <c r="G42" s="46" t="n">
        <v>0.000537923614846691</v>
      </c>
      <c r="H42" s="0" t="n">
        <v>0.00263035705892766</v>
      </c>
      <c r="I42" s="0" t="n">
        <v>0.0184124994124936</v>
      </c>
      <c r="J42" s="0" t="n">
        <v>4</v>
      </c>
      <c r="K42" s="0" t="n">
        <v>5</v>
      </c>
      <c r="L42" s="46" t="n">
        <v>0.000420769166035512</v>
      </c>
      <c r="M42" s="0" t="n">
        <v>9606</v>
      </c>
      <c r="N42" s="0" t="s">
        <v>709</v>
      </c>
      <c r="O42" s="0" t="s">
        <v>845</v>
      </c>
      <c r="P42" s="0" t="s">
        <v>845</v>
      </c>
      <c r="S42" s="0" t="s">
        <v>861</v>
      </c>
    </row>
    <row r="43" customFormat="false" ht="15" hidden="false" customHeight="false" outlineLevel="0" collapsed="false">
      <c r="A43" s="0" t="s">
        <v>862</v>
      </c>
      <c r="B43" s="0" t="s">
        <v>863</v>
      </c>
      <c r="C43" s="0" t="n">
        <v>1</v>
      </c>
      <c r="D43" s="0" t="n">
        <v>11</v>
      </c>
      <c r="E43" s="0" t="n">
        <v>2</v>
      </c>
      <c r="F43" s="0" t="n">
        <v>23</v>
      </c>
      <c r="G43" s="46" t="n">
        <v>0.000986193293885601</v>
      </c>
      <c r="H43" s="0" t="n">
        <v>0.00344304620118929</v>
      </c>
      <c r="I43" s="0" t="n">
        <v>0.024101323408325</v>
      </c>
      <c r="J43" s="0" t="n">
        <v>10</v>
      </c>
      <c r="K43" s="0" t="n">
        <v>13</v>
      </c>
      <c r="L43" s="0" t="n">
        <v>0.00109399983169233</v>
      </c>
      <c r="M43" s="0" t="n">
        <v>9606</v>
      </c>
      <c r="N43" s="0" t="s">
        <v>709</v>
      </c>
      <c r="O43" s="0" t="s">
        <v>566</v>
      </c>
      <c r="P43" s="0" t="s">
        <v>566</v>
      </c>
      <c r="Q43" s="0" t="s">
        <v>566</v>
      </c>
      <c r="R43" s="0" t="s">
        <v>562</v>
      </c>
      <c r="S43" s="0" t="s">
        <v>775</v>
      </c>
      <c r="T43" s="0" t="s">
        <v>566</v>
      </c>
      <c r="U43" s="0" t="s">
        <v>763</v>
      </c>
      <c r="V43" s="0" t="s">
        <v>864</v>
      </c>
    </row>
    <row r="44" customFormat="false" ht="15" hidden="false" customHeight="false" outlineLevel="0" collapsed="false">
      <c r="A44" s="0" t="s">
        <v>865</v>
      </c>
      <c r="B44" s="0" t="s">
        <v>866</v>
      </c>
      <c r="C44" s="0" t="n">
        <v>1</v>
      </c>
      <c r="D44" s="0" t="n">
        <v>2</v>
      </c>
      <c r="E44" s="0" t="n">
        <v>0</v>
      </c>
      <c r="F44" s="0" t="n">
        <v>0</v>
      </c>
      <c r="G44" s="46" t="n">
        <v>0.000179307871615563</v>
      </c>
      <c r="H44" s="0" t="n">
        <v>0.00554701749153629</v>
      </c>
      <c r="I44" s="0" t="n">
        <v>0.038829122440754</v>
      </c>
      <c r="J44" s="0" t="n">
        <v>1</v>
      </c>
      <c r="K44" s="0" t="n">
        <v>1</v>
      </c>
      <c r="L44" s="46" t="n">
        <v>8.41538332071025E-005</v>
      </c>
      <c r="M44" s="0" t="n">
        <v>9606</v>
      </c>
      <c r="N44" s="0" t="s">
        <v>709</v>
      </c>
      <c r="O44" s="0" t="s">
        <v>566</v>
      </c>
      <c r="P44" s="0" t="s">
        <v>566</v>
      </c>
      <c r="S44" s="0" t="s">
        <v>867</v>
      </c>
    </row>
    <row r="45" customFormat="false" ht="15" hidden="false" customHeight="false" outlineLevel="0" collapsed="false">
      <c r="A45" s="0" t="s">
        <v>868</v>
      </c>
      <c r="B45" s="0" t="s">
        <v>869</v>
      </c>
      <c r="C45" s="0" t="n">
        <v>2</v>
      </c>
      <c r="D45" s="0" t="n">
        <v>39</v>
      </c>
      <c r="E45" s="0" t="n">
        <v>0</v>
      </c>
      <c r="F45" s="0" t="n">
        <v>19</v>
      </c>
      <c r="G45" s="0" t="n">
        <v>0.00349650349650349</v>
      </c>
      <c r="H45" s="0" t="n">
        <v>0.0111194626044023</v>
      </c>
      <c r="I45" s="0" t="n">
        <v>0.0722532729943605</v>
      </c>
      <c r="J45" s="0" t="n">
        <v>6</v>
      </c>
      <c r="K45" s="0" t="n">
        <v>39</v>
      </c>
      <c r="L45" s="0" t="n">
        <v>0.003281999495077</v>
      </c>
      <c r="M45" s="0" t="n">
        <v>9606</v>
      </c>
      <c r="N45" s="0" t="s">
        <v>709</v>
      </c>
      <c r="O45" s="0" t="s">
        <v>838</v>
      </c>
      <c r="P45" s="0" t="s">
        <v>838</v>
      </c>
      <c r="S45" s="0" t="s">
        <v>855</v>
      </c>
    </row>
    <row r="46" customFormat="false" ht="15" hidden="false" customHeight="false" outlineLevel="0" collapsed="false">
      <c r="A46" s="0" t="s">
        <v>870</v>
      </c>
      <c r="B46" s="0" t="s">
        <v>871</v>
      </c>
      <c r="C46" s="0" t="n">
        <v>8</v>
      </c>
      <c r="D46" s="0" t="n">
        <v>1217</v>
      </c>
      <c r="E46" s="0" t="n">
        <v>6</v>
      </c>
      <c r="F46" s="0" t="n">
        <v>1002</v>
      </c>
      <c r="G46" s="0" t="n">
        <v>0.10910883987807</v>
      </c>
      <c r="H46" s="0" t="n">
        <v>0.0120422121657267</v>
      </c>
      <c r="I46" s="0" t="n">
        <v>0.0722532729943605</v>
      </c>
      <c r="J46" s="0" t="n">
        <v>24</v>
      </c>
      <c r="K46" s="0" t="n">
        <v>422</v>
      </c>
      <c r="L46" s="0" t="n">
        <v>0.0355129176133972</v>
      </c>
      <c r="M46" s="0" t="n">
        <v>9606</v>
      </c>
      <c r="N46" s="0" t="s">
        <v>709</v>
      </c>
      <c r="O46" s="0" t="s">
        <v>872</v>
      </c>
      <c r="P46" s="0" t="s">
        <v>872</v>
      </c>
      <c r="Q46" s="0" t="s">
        <v>547</v>
      </c>
      <c r="R46" s="0" t="s">
        <v>311</v>
      </c>
      <c r="S46" s="0" t="s">
        <v>562</v>
      </c>
      <c r="T46" s="0" t="s">
        <v>395</v>
      </c>
      <c r="U46" s="0" t="s">
        <v>569</v>
      </c>
      <c r="V46" s="0" t="s">
        <v>335</v>
      </c>
      <c r="W46" s="0" t="s">
        <v>235</v>
      </c>
      <c r="X46" s="0" t="s">
        <v>815</v>
      </c>
      <c r="Y46" s="0" t="s">
        <v>873</v>
      </c>
      <c r="Z46" s="0" t="s">
        <v>874</v>
      </c>
      <c r="AA46" s="0" t="s">
        <v>763</v>
      </c>
      <c r="AB46" s="0" t="s">
        <v>764</v>
      </c>
      <c r="AC46" s="0" t="s">
        <v>875</v>
      </c>
    </row>
    <row r="47" customFormat="false" ht="15" hidden="false" customHeight="false" outlineLevel="0" collapsed="false">
      <c r="A47" s="0" t="s">
        <v>876</v>
      </c>
      <c r="B47" s="0" t="s">
        <v>877</v>
      </c>
      <c r="C47" s="0" t="n">
        <v>1</v>
      </c>
      <c r="D47" s="0" t="n">
        <v>4</v>
      </c>
      <c r="E47" s="0" t="n">
        <v>0</v>
      </c>
      <c r="F47" s="0" t="n">
        <v>1</v>
      </c>
      <c r="G47" s="46" t="n">
        <v>0.000358615743231127</v>
      </c>
      <c r="H47" s="0" t="n">
        <v>0.0138111219638912</v>
      </c>
      <c r="I47" s="0" t="n">
        <v>0.0828667317833473</v>
      </c>
      <c r="J47" s="0" t="n">
        <v>4</v>
      </c>
      <c r="K47" s="0" t="n">
        <v>4</v>
      </c>
      <c r="L47" s="46" t="n">
        <v>0.00033661533282841</v>
      </c>
      <c r="M47" s="0" t="n">
        <v>9606</v>
      </c>
      <c r="N47" s="0" t="s">
        <v>709</v>
      </c>
      <c r="O47" s="0" t="s">
        <v>335</v>
      </c>
      <c r="P47" s="0" t="s">
        <v>335</v>
      </c>
      <c r="S47" s="0" t="s">
        <v>878</v>
      </c>
    </row>
    <row r="48" customFormat="false" ht="15" hidden="false" customHeight="false" outlineLevel="0" collapsed="false">
      <c r="A48" s="0" t="s">
        <v>879</v>
      </c>
      <c r="B48" s="0" t="s">
        <v>880</v>
      </c>
      <c r="C48" s="0" t="n">
        <v>1</v>
      </c>
      <c r="D48" s="0" t="n">
        <v>5</v>
      </c>
      <c r="E48" s="0" t="n">
        <v>0</v>
      </c>
      <c r="F48" s="0" t="n">
        <v>0</v>
      </c>
      <c r="G48" s="46" t="n">
        <v>0.000448269679038909</v>
      </c>
      <c r="H48" s="0" t="n">
        <v>0.0138111219638912</v>
      </c>
      <c r="I48" s="0" t="n">
        <v>0.0828667317833473</v>
      </c>
      <c r="J48" s="0" t="n">
        <v>1</v>
      </c>
      <c r="K48" s="0" t="n">
        <v>3</v>
      </c>
      <c r="L48" s="46" t="n">
        <v>0.000252461499621307</v>
      </c>
      <c r="M48" s="0" t="n">
        <v>9606</v>
      </c>
      <c r="N48" s="0" t="s">
        <v>709</v>
      </c>
      <c r="O48" s="0" t="s">
        <v>589</v>
      </c>
      <c r="P48" s="0" t="s">
        <v>589</v>
      </c>
      <c r="S48" s="0" t="s">
        <v>881</v>
      </c>
    </row>
    <row r="49" customFormat="false" ht="15" hidden="false" customHeight="false" outlineLevel="0" collapsed="false">
      <c r="A49" s="0" t="s">
        <v>882</v>
      </c>
      <c r="B49" s="0" t="s">
        <v>883</v>
      </c>
      <c r="C49" s="0" t="n">
        <v>8</v>
      </c>
      <c r="D49" s="0" t="n">
        <v>1154</v>
      </c>
      <c r="E49" s="0" t="n">
        <v>3</v>
      </c>
      <c r="F49" s="0" t="n">
        <v>649</v>
      </c>
      <c r="G49" s="0" t="n">
        <v>0.10346064192218</v>
      </c>
      <c r="H49" s="0" t="n">
        <v>0.0210671643819005</v>
      </c>
      <c r="I49" s="0" t="n">
        <v>0.110039996844331</v>
      </c>
      <c r="J49" s="0" t="n">
        <v>18</v>
      </c>
      <c r="K49" s="0" t="n">
        <v>245</v>
      </c>
      <c r="L49" s="0" t="n">
        <v>0.0206176891357401</v>
      </c>
      <c r="M49" s="0" t="n">
        <v>9606</v>
      </c>
      <c r="N49" s="0" t="s">
        <v>709</v>
      </c>
      <c r="O49" s="0" t="s">
        <v>872</v>
      </c>
      <c r="P49" s="0" t="s">
        <v>872</v>
      </c>
      <c r="Q49" s="0" t="s">
        <v>547</v>
      </c>
      <c r="R49" s="0" t="s">
        <v>562</v>
      </c>
      <c r="S49" s="0" t="s">
        <v>335</v>
      </c>
      <c r="T49" s="0" t="s">
        <v>815</v>
      </c>
      <c r="U49" s="0" t="s">
        <v>763</v>
      </c>
      <c r="V49" s="0" t="s">
        <v>764</v>
      </c>
      <c r="W49" s="0" t="s">
        <v>884</v>
      </c>
    </row>
    <row r="50" customFormat="false" ht="15" hidden="false" customHeight="false" outlineLevel="0" collapsed="false">
      <c r="A50" s="0" t="s">
        <v>885</v>
      </c>
      <c r="B50" s="0" t="s">
        <v>886</v>
      </c>
      <c r="C50" s="0" t="n">
        <v>3</v>
      </c>
      <c r="D50" s="0" t="n">
        <v>189</v>
      </c>
      <c r="E50" s="0" t="n">
        <v>2</v>
      </c>
      <c r="F50" s="0" t="n">
        <v>218</v>
      </c>
      <c r="G50" s="0" t="n">
        <v>0.0169445938676707</v>
      </c>
      <c r="H50" s="0" t="n">
        <v>0.0218984498621527</v>
      </c>
      <c r="I50" s="0" t="n">
        <v>0.110039996844331</v>
      </c>
      <c r="J50" s="0" t="n">
        <v>5</v>
      </c>
      <c r="K50" s="0" t="n">
        <v>75</v>
      </c>
      <c r="L50" s="0" t="n">
        <v>0.00631153749053269</v>
      </c>
      <c r="M50" s="0" t="n">
        <v>9606</v>
      </c>
      <c r="N50" s="0" t="s">
        <v>709</v>
      </c>
      <c r="O50" s="0" t="s">
        <v>887</v>
      </c>
      <c r="P50" s="0" t="s">
        <v>887</v>
      </c>
      <c r="Q50" s="0" t="s">
        <v>311</v>
      </c>
      <c r="R50" s="0" t="s">
        <v>395</v>
      </c>
      <c r="S50" s="0" t="s">
        <v>235</v>
      </c>
      <c r="T50" s="0" t="s">
        <v>873</v>
      </c>
      <c r="U50" s="0" t="s">
        <v>888</v>
      </c>
    </row>
    <row r="51" customFormat="false" ht="15" hidden="false" customHeight="false" outlineLevel="0" collapsed="false">
      <c r="A51" s="0" t="s">
        <v>889</v>
      </c>
      <c r="B51" s="0" t="s">
        <v>890</v>
      </c>
      <c r="C51" s="0" t="n">
        <v>1</v>
      </c>
      <c r="D51" s="0" t="n">
        <v>6</v>
      </c>
      <c r="E51" s="0" t="n">
        <v>0</v>
      </c>
      <c r="F51" s="0" t="n">
        <v>2</v>
      </c>
      <c r="G51" s="46" t="n">
        <v>0.000537923614846691</v>
      </c>
      <c r="H51" s="0" t="n">
        <v>0.0220079993688662</v>
      </c>
      <c r="I51" s="0" t="n">
        <v>0.110039996844331</v>
      </c>
      <c r="J51" s="0" t="n">
        <v>3</v>
      </c>
      <c r="K51" s="0" t="n">
        <v>3</v>
      </c>
      <c r="L51" s="46" t="n">
        <v>0.000252461499621307</v>
      </c>
      <c r="M51" s="0" t="n">
        <v>9606</v>
      </c>
      <c r="N51" s="0" t="s">
        <v>709</v>
      </c>
      <c r="O51" s="0" t="s">
        <v>335</v>
      </c>
      <c r="P51" s="0" t="s">
        <v>335</v>
      </c>
      <c r="S51" s="0" t="s">
        <v>891</v>
      </c>
    </row>
    <row r="52" customFormat="false" ht="15" hidden="false" customHeight="false" outlineLevel="0" collapsed="false">
      <c r="A52" s="0" t="s">
        <v>892</v>
      </c>
      <c r="B52" s="0" t="s">
        <v>893</v>
      </c>
      <c r="C52" s="0" t="n">
        <v>1</v>
      </c>
      <c r="D52" s="0" t="n">
        <v>8</v>
      </c>
      <c r="E52" s="0" t="n">
        <v>0</v>
      </c>
      <c r="F52" s="0" t="n">
        <v>0</v>
      </c>
      <c r="G52" s="46" t="n">
        <v>0.000717231486462255</v>
      </c>
      <c r="H52" s="0" t="n">
        <v>0.0220079993688662</v>
      </c>
      <c r="I52" s="0" t="n">
        <v>0.110039996844331</v>
      </c>
      <c r="J52" s="0" t="n">
        <v>1</v>
      </c>
      <c r="K52" s="0" t="n">
        <v>2</v>
      </c>
      <c r="L52" s="46" t="n">
        <v>0.000168307666414205</v>
      </c>
      <c r="M52" s="0" t="n">
        <v>9606</v>
      </c>
      <c r="N52" s="0" t="s">
        <v>709</v>
      </c>
      <c r="O52" s="0" t="s">
        <v>569</v>
      </c>
      <c r="P52" s="0" t="s">
        <v>569</v>
      </c>
      <c r="S52" s="0" t="s">
        <v>894</v>
      </c>
    </row>
    <row r="53" customFormat="false" ht="15" hidden="false" customHeight="false" outlineLevel="0" collapsed="false">
      <c r="A53" s="0" t="s">
        <v>895</v>
      </c>
      <c r="B53" s="0" t="s">
        <v>896</v>
      </c>
      <c r="C53" s="0" t="n">
        <v>1</v>
      </c>
      <c r="D53" s="0" t="n">
        <v>8</v>
      </c>
      <c r="E53" s="0" t="n">
        <v>0</v>
      </c>
      <c r="F53" s="0" t="n">
        <v>0</v>
      </c>
      <c r="G53" s="46" t="n">
        <v>0.000717231486462255</v>
      </c>
      <c r="H53" s="0" t="n">
        <v>0.0220079993688662</v>
      </c>
      <c r="I53" s="0" t="n">
        <v>0.110039996844331</v>
      </c>
      <c r="J53" s="0" t="n">
        <v>2</v>
      </c>
      <c r="K53" s="0" t="n">
        <v>6</v>
      </c>
      <c r="L53" s="46" t="n">
        <v>0.000504922999242615</v>
      </c>
      <c r="M53" s="0" t="n">
        <v>9606</v>
      </c>
      <c r="N53" s="0" t="s">
        <v>709</v>
      </c>
      <c r="O53" s="0" t="s">
        <v>589</v>
      </c>
      <c r="P53" s="0" t="s">
        <v>589</v>
      </c>
      <c r="S53" s="0" t="s">
        <v>897</v>
      </c>
    </row>
    <row r="54" customFormat="false" ht="15" hidden="false" customHeight="false" outlineLevel="0" collapsed="false">
      <c r="A54" s="0" t="s">
        <v>898</v>
      </c>
      <c r="B54" s="0" t="s">
        <v>899</v>
      </c>
      <c r="C54" s="0" t="n">
        <v>2</v>
      </c>
      <c r="D54" s="0" t="n">
        <v>103</v>
      </c>
      <c r="E54" s="0" t="n">
        <v>0</v>
      </c>
      <c r="F54" s="0" t="n">
        <v>0</v>
      </c>
      <c r="G54" s="0" t="n">
        <v>0.00923435538820154</v>
      </c>
      <c r="H54" s="0" t="n">
        <v>0.0335014173338463</v>
      </c>
      <c r="I54" s="0" t="n">
        <v>0.167507086669231</v>
      </c>
      <c r="J54" s="0" t="n">
        <v>4</v>
      </c>
      <c r="K54" s="0" t="n">
        <v>8</v>
      </c>
      <c r="L54" s="46" t="n">
        <v>0.00067323066565682</v>
      </c>
      <c r="M54" s="0" t="n">
        <v>9606</v>
      </c>
      <c r="N54" s="0" t="s">
        <v>709</v>
      </c>
      <c r="O54" s="0" t="s">
        <v>900</v>
      </c>
      <c r="P54" s="0" t="s">
        <v>900</v>
      </c>
      <c r="S54" s="0" t="s">
        <v>901</v>
      </c>
    </row>
    <row r="55" customFormat="false" ht="15" hidden="false" customHeight="false" outlineLevel="0" collapsed="false">
      <c r="A55" s="0" t="s">
        <v>902</v>
      </c>
      <c r="B55" s="0" t="s">
        <v>903</v>
      </c>
      <c r="C55" s="0" t="n">
        <v>3</v>
      </c>
      <c r="D55" s="0" t="n">
        <v>324</v>
      </c>
      <c r="E55" s="0" t="n">
        <v>3</v>
      </c>
      <c r="F55" s="0" t="n">
        <v>372</v>
      </c>
      <c r="G55" s="0" t="n">
        <v>0.0290478752017213</v>
      </c>
      <c r="H55" s="0" t="n">
        <v>0.0371976621655397</v>
      </c>
      <c r="I55" s="0" t="n">
        <v>0.185988310827698</v>
      </c>
      <c r="J55" s="0" t="n">
        <v>6</v>
      </c>
      <c r="K55" s="0" t="n">
        <v>150</v>
      </c>
      <c r="L55" s="0" t="n">
        <v>0.0126230749810653</v>
      </c>
      <c r="M55" s="0" t="n">
        <v>9606</v>
      </c>
      <c r="N55" s="0" t="s">
        <v>709</v>
      </c>
      <c r="O55" s="0" t="s">
        <v>887</v>
      </c>
      <c r="P55" s="0" t="s">
        <v>887</v>
      </c>
      <c r="Q55" s="0" t="s">
        <v>311</v>
      </c>
      <c r="R55" s="0" t="s">
        <v>395</v>
      </c>
      <c r="S55" s="0" t="s">
        <v>569</v>
      </c>
      <c r="T55" s="0" t="s">
        <v>235</v>
      </c>
      <c r="U55" s="0" t="s">
        <v>873</v>
      </c>
      <c r="V55" s="0" t="s">
        <v>874</v>
      </c>
      <c r="W55" s="0" t="s">
        <v>904</v>
      </c>
    </row>
    <row r="56" customFormat="false" ht="15" hidden="false" customHeight="false" outlineLevel="0" collapsed="false">
      <c r="A56" s="0" t="s">
        <v>905</v>
      </c>
      <c r="B56" s="0" t="s">
        <v>906</v>
      </c>
      <c r="C56" s="0" t="n">
        <v>0</v>
      </c>
      <c r="D56" s="0" t="n">
        <v>9</v>
      </c>
      <c r="E56" s="0" t="n">
        <v>1</v>
      </c>
      <c r="F56" s="0" t="n">
        <v>5</v>
      </c>
      <c r="G56" s="46" t="n">
        <v>0.000806885422270037</v>
      </c>
      <c r="H56" s="0" t="n">
        <v>0.0382022091580425</v>
      </c>
      <c r="I56" s="0" t="n">
        <v>0.191011045790212</v>
      </c>
      <c r="J56" s="0" t="n">
        <v>1</v>
      </c>
      <c r="K56" s="0" t="n">
        <v>7</v>
      </c>
      <c r="L56" s="46" t="n">
        <v>0.000589076832449718</v>
      </c>
      <c r="M56" s="0" t="n">
        <v>9606</v>
      </c>
      <c r="N56" s="0" t="s">
        <v>709</v>
      </c>
      <c r="Q56" s="0" t="s">
        <v>547</v>
      </c>
      <c r="R56" s="0" t="s">
        <v>907</v>
      </c>
      <c r="S56" s="0" t="s">
        <v>908</v>
      </c>
    </row>
    <row r="57" customFormat="false" ht="15" hidden="false" customHeight="false" outlineLevel="0" collapsed="false">
      <c r="A57" s="0" t="s">
        <v>909</v>
      </c>
      <c r="B57" s="0" t="s">
        <v>910</v>
      </c>
      <c r="C57" s="0" t="n">
        <v>1</v>
      </c>
      <c r="D57" s="0" t="n">
        <v>76</v>
      </c>
      <c r="E57" s="0" t="n">
        <v>2</v>
      </c>
      <c r="F57" s="0" t="n">
        <v>37</v>
      </c>
      <c r="G57" s="0" t="n">
        <v>0.00681369912139142</v>
      </c>
      <c r="H57" s="0" t="n">
        <v>0.038369718277048</v>
      </c>
      <c r="I57" s="0" t="n">
        <v>0.19184859138524</v>
      </c>
      <c r="J57" s="0" t="n">
        <v>3</v>
      </c>
      <c r="K57" s="0" t="n">
        <v>23</v>
      </c>
      <c r="L57" s="0" t="n">
        <v>0.00193553816376335</v>
      </c>
      <c r="M57" s="0" t="n">
        <v>9606</v>
      </c>
      <c r="N57" s="0" t="s">
        <v>709</v>
      </c>
      <c r="O57" s="0" t="s">
        <v>547</v>
      </c>
      <c r="P57" s="0" t="s">
        <v>547</v>
      </c>
      <c r="Q57" s="0" t="s">
        <v>297</v>
      </c>
      <c r="R57" s="0" t="s">
        <v>547</v>
      </c>
      <c r="S57" s="0" t="s">
        <v>750</v>
      </c>
      <c r="T57" s="0" t="s">
        <v>911</v>
      </c>
      <c r="U57" s="0" t="s">
        <v>912</v>
      </c>
    </row>
    <row r="58" customFormat="false" ht="15" hidden="false" customHeight="false" outlineLevel="0" collapsed="false">
      <c r="A58" s="0" t="s">
        <v>913</v>
      </c>
      <c r="B58" s="0" t="s">
        <v>914</v>
      </c>
      <c r="C58" s="0" t="n">
        <v>3</v>
      </c>
      <c r="D58" s="0" t="n">
        <v>80</v>
      </c>
      <c r="E58" s="0" t="n">
        <v>2</v>
      </c>
      <c r="F58" s="0" t="n">
        <v>207</v>
      </c>
      <c r="G58" s="0" t="n">
        <v>0.00717231486462255</v>
      </c>
      <c r="H58" s="0" t="n">
        <v>0.0411103772065317</v>
      </c>
      <c r="I58" s="0" t="n">
        <v>0.205551886032658</v>
      </c>
      <c r="J58" s="0" t="n">
        <v>10</v>
      </c>
      <c r="K58" s="0" t="n">
        <v>33</v>
      </c>
      <c r="L58" s="0" t="n">
        <v>0.00277707649583438</v>
      </c>
      <c r="M58" s="0" t="n">
        <v>9606</v>
      </c>
      <c r="N58" s="0" t="s">
        <v>709</v>
      </c>
      <c r="O58" s="0" t="s">
        <v>915</v>
      </c>
      <c r="P58" s="0" t="s">
        <v>915</v>
      </c>
      <c r="Q58" s="0" t="s">
        <v>268</v>
      </c>
      <c r="R58" s="0" t="s">
        <v>566</v>
      </c>
      <c r="S58" s="0" t="s">
        <v>268</v>
      </c>
      <c r="T58" s="0" t="s">
        <v>916</v>
      </c>
      <c r="U58" s="0" t="s">
        <v>917</v>
      </c>
    </row>
    <row r="59" customFormat="false" ht="15" hidden="false" customHeight="false" outlineLevel="0" collapsed="false">
      <c r="A59" s="0" t="s">
        <v>918</v>
      </c>
      <c r="B59" s="0" t="s">
        <v>919</v>
      </c>
      <c r="C59" s="0" t="n">
        <v>0</v>
      </c>
      <c r="D59" s="0" t="n">
        <v>5</v>
      </c>
      <c r="E59" s="0" t="n">
        <v>1</v>
      </c>
      <c r="F59" s="0" t="n">
        <v>12</v>
      </c>
      <c r="G59" s="46" t="n">
        <v>0.000448269679038909</v>
      </c>
      <c r="H59" s="0" t="n">
        <v>0.0435417295688026</v>
      </c>
      <c r="I59" s="0" t="n">
        <v>0.217708647844013</v>
      </c>
      <c r="J59" s="0" t="n">
        <v>1</v>
      </c>
      <c r="K59" s="0" t="n">
        <v>4</v>
      </c>
      <c r="L59" s="46" t="n">
        <v>0.00033661533282841</v>
      </c>
      <c r="M59" s="0" t="n">
        <v>9606</v>
      </c>
      <c r="N59" s="0" t="s">
        <v>709</v>
      </c>
      <c r="Q59" s="0" t="s">
        <v>579</v>
      </c>
      <c r="R59" s="0" t="s">
        <v>920</v>
      </c>
      <c r="S59" s="0" t="s">
        <v>921</v>
      </c>
    </row>
    <row r="60" customFormat="false" ht="15" hidden="false" customHeight="false" outlineLevel="0" collapsed="false">
      <c r="A60" s="0" t="s">
        <v>922</v>
      </c>
      <c r="B60" s="0" t="s">
        <v>923</v>
      </c>
      <c r="C60" s="0" t="n">
        <v>0</v>
      </c>
      <c r="D60" s="0" t="n">
        <v>8</v>
      </c>
      <c r="E60" s="0" t="n">
        <v>1</v>
      </c>
      <c r="F60" s="0" t="n">
        <v>11</v>
      </c>
      <c r="G60" s="46" t="n">
        <v>0.000717231486462255</v>
      </c>
      <c r="H60" s="0" t="n">
        <v>0.0514966541152095</v>
      </c>
      <c r="I60" s="0" t="n">
        <v>0.257483270576047</v>
      </c>
      <c r="J60" s="0" t="n">
        <v>1</v>
      </c>
      <c r="K60" s="0" t="n">
        <v>3</v>
      </c>
      <c r="L60" s="46" t="n">
        <v>0.000252461499621307</v>
      </c>
      <c r="M60" s="0" t="n">
        <v>9606</v>
      </c>
      <c r="N60" s="0" t="s">
        <v>709</v>
      </c>
      <c r="Q60" s="0" t="s">
        <v>547</v>
      </c>
      <c r="R60" s="0" t="s">
        <v>924</v>
      </c>
      <c r="S60" s="0" t="s">
        <v>925</v>
      </c>
    </row>
    <row r="61" customFormat="false" ht="15" hidden="false" customHeight="false" outlineLevel="0" collapsed="false">
      <c r="A61" s="0" t="s">
        <v>926</v>
      </c>
      <c r="B61" s="0" t="s">
        <v>927</v>
      </c>
      <c r="C61" s="0" t="n">
        <v>5</v>
      </c>
      <c r="D61" s="0" t="n">
        <v>731</v>
      </c>
      <c r="E61" s="0" t="n">
        <v>8</v>
      </c>
      <c r="F61" s="0" t="n">
        <v>859</v>
      </c>
      <c r="G61" s="0" t="n">
        <v>0.0655370270754886</v>
      </c>
      <c r="H61" s="0" t="n">
        <v>0.0582111745280624</v>
      </c>
      <c r="I61" s="0" t="n">
        <v>0.289578219524913</v>
      </c>
      <c r="J61" s="0" t="n">
        <v>58</v>
      </c>
      <c r="K61" s="0" t="n">
        <v>435</v>
      </c>
      <c r="L61" s="0" t="n">
        <v>0.0366069174450896</v>
      </c>
      <c r="M61" s="0" t="n">
        <v>9606</v>
      </c>
      <c r="N61" s="0" t="s">
        <v>709</v>
      </c>
      <c r="O61" s="0" t="s">
        <v>928</v>
      </c>
      <c r="P61" s="0" t="s">
        <v>928</v>
      </c>
      <c r="Q61" s="0" t="s">
        <v>547</v>
      </c>
      <c r="R61" s="0" t="s">
        <v>566</v>
      </c>
      <c r="S61" s="0" t="s">
        <v>558</v>
      </c>
      <c r="T61" s="0" t="s">
        <v>562</v>
      </c>
      <c r="U61" s="0" t="s">
        <v>569</v>
      </c>
      <c r="V61" s="0" t="s">
        <v>380</v>
      </c>
      <c r="W61" s="0" t="s">
        <v>372</v>
      </c>
      <c r="X61" s="0" t="s">
        <v>335</v>
      </c>
      <c r="Y61" s="0" t="s">
        <v>372</v>
      </c>
      <c r="Z61" s="0" t="s">
        <v>775</v>
      </c>
      <c r="AA61" s="0" t="s">
        <v>929</v>
      </c>
      <c r="AB61" s="0" t="s">
        <v>776</v>
      </c>
      <c r="AC61" s="0" t="s">
        <v>930</v>
      </c>
      <c r="AD61" s="0" t="s">
        <v>566</v>
      </c>
      <c r="AE61" s="0" t="s">
        <v>931</v>
      </c>
      <c r="AF61" s="0" t="s">
        <v>763</v>
      </c>
      <c r="AG61" s="0" t="s">
        <v>764</v>
      </c>
      <c r="AH61" s="0" t="s">
        <v>932</v>
      </c>
    </row>
    <row r="62" customFormat="false" ht="15" hidden="false" customHeight="false" outlineLevel="0" collapsed="false">
      <c r="A62" s="0" t="s">
        <v>933</v>
      </c>
      <c r="B62" s="0" t="s">
        <v>934</v>
      </c>
      <c r="C62" s="0" t="n">
        <v>1</v>
      </c>
      <c r="D62" s="0" t="n">
        <v>7</v>
      </c>
      <c r="E62" s="0" t="n">
        <v>0</v>
      </c>
      <c r="F62" s="0" t="n">
        <v>17</v>
      </c>
      <c r="G62" s="46" t="n">
        <v>0.000627577550654473</v>
      </c>
      <c r="H62" s="0" t="n">
        <v>0.0646111935426897</v>
      </c>
      <c r="I62" s="0" t="n">
        <v>0.289578219524913</v>
      </c>
      <c r="J62" s="0" t="n">
        <v>2</v>
      </c>
      <c r="K62" s="0" t="n">
        <v>2</v>
      </c>
      <c r="L62" s="46" t="n">
        <v>0.000168307666414205</v>
      </c>
      <c r="M62" s="0" t="n">
        <v>9606</v>
      </c>
      <c r="N62" s="0" t="s">
        <v>709</v>
      </c>
      <c r="O62" s="0" t="s">
        <v>335</v>
      </c>
      <c r="P62" s="0" t="s">
        <v>335</v>
      </c>
      <c r="S62" s="0" t="s">
        <v>935</v>
      </c>
    </row>
    <row r="63" customFormat="false" ht="15" hidden="false" customHeight="false" outlineLevel="0" collapsed="false">
      <c r="A63" s="0" t="s">
        <v>936</v>
      </c>
      <c r="B63" s="0" t="s">
        <v>937</v>
      </c>
      <c r="C63" s="0" t="n">
        <v>0</v>
      </c>
      <c r="D63" s="0" t="n">
        <v>7</v>
      </c>
      <c r="E63" s="0" t="n">
        <v>1</v>
      </c>
      <c r="F63" s="0" t="n">
        <v>22</v>
      </c>
      <c r="G63" s="46" t="n">
        <v>0.000627577550654473</v>
      </c>
      <c r="H63" s="0" t="n">
        <v>0.0698071704476378</v>
      </c>
      <c r="I63" s="0" t="n">
        <v>0.289578219524913</v>
      </c>
      <c r="J63" s="0" t="n">
        <v>1</v>
      </c>
      <c r="K63" s="0" t="n">
        <v>8</v>
      </c>
      <c r="L63" s="46" t="n">
        <v>0.00067323066565682</v>
      </c>
      <c r="M63" s="0" t="n">
        <v>9606</v>
      </c>
      <c r="N63" s="0" t="s">
        <v>709</v>
      </c>
      <c r="Q63" s="0" t="s">
        <v>579</v>
      </c>
      <c r="R63" s="0" t="s">
        <v>920</v>
      </c>
      <c r="S63" s="0" t="s">
        <v>921</v>
      </c>
    </row>
    <row r="64" customFormat="false" ht="15" hidden="false" customHeight="false" outlineLevel="0" collapsed="false">
      <c r="A64" s="0" t="s">
        <v>938</v>
      </c>
      <c r="B64" s="0" t="s">
        <v>939</v>
      </c>
      <c r="C64" s="0" t="n">
        <v>1</v>
      </c>
      <c r="D64" s="0" t="n">
        <v>19</v>
      </c>
      <c r="E64" s="0" t="n">
        <v>0</v>
      </c>
      <c r="F64" s="0" t="n">
        <v>8</v>
      </c>
      <c r="G64" s="0" t="n">
        <v>0.00170342478034785</v>
      </c>
      <c r="H64" s="0" t="n">
        <v>0.0723945548812284</v>
      </c>
      <c r="I64" s="0" t="n">
        <v>0.289578219524913</v>
      </c>
      <c r="J64" s="0" t="n">
        <v>1</v>
      </c>
      <c r="K64" s="0" t="n">
        <v>12</v>
      </c>
      <c r="L64" s="0" t="n">
        <v>0.00100984599848523</v>
      </c>
      <c r="M64" s="0" t="n">
        <v>9606</v>
      </c>
      <c r="N64" s="0" t="s">
        <v>709</v>
      </c>
      <c r="O64" s="0" t="s">
        <v>335</v>
      </c>
      <c r="P64" s="0" t="s">
        <v>335</v>
      </c>
      <c r="S64" s="0" t="s">
        <v>940</v>
      </c>
    </row>
    <row r="65" customFormat="false" ht="15" hidden="false" customHeight="false" outlineLevel="0" collapsed="false">
      <c r="A65" s="0" t="s">
        <v>941</v>
      </c>
      <c r="B65" s="0" t="s">
        <v>942</v>
      </c>
      <c r="C65" s="0" t="n">
        <v>3</v>
      </c>
      <c r="D65" s="0" t="n">
        <v>461</v>
      </c>
      <c r="E65" s="0" t="n">
        <v>3</v>
      </c>
      <c r="F65" s="0" t="n">
        <v>389</v>
      </c>
      <c r="G65" s="0" t="n">
        <v>0.0413304644073874</v>
      </c>
      <c r="H65" s="0" t="n">
        <v>0.0743580105425308</v>
      </c>
      <c r="I65" s="0" t="n">
        <v>0.297432042170123</v>
      </c>
      <c r="J65" s="0" t="n">
        <v>6</v>
      </c>
      <c r="K65" s="0" t="n">
        <v>177</v>
      </c>
      <c r="L65" s="0" t="n">
        <v>0.0148952284776571</v>
      </c>
      <c r="M65" s="0" t="n">
        <v>9606</v>
      </c>
      <c r="N65" s="0" t="s">
        <v>709</v>
      </c>
      <c r="O65" s="0" t="s">
        <v>887</v>
      </c>
      <c r="P65" s="0" t="s">
        <v>887</v>
      </c>
      <c r="Q65" s="0" t="s">
        <v>311</v>
      </c>
      <c r="R65" s="0" t="s">
        <v>395</v>
      </c>
      <c r="S65" s="0" t="s">
        <v>569</v>
      </c>
      <c r="T65" s="0" t="s">
        <v>235</v>
      </c>
      <c r="U65" s="0" t="s">
        <v>873</v>
      </c>
      <c r="V65" s="0" t="s">
        <v>874</v>
      </c>
      <c r="W65" s="0" t="s">
        <v>904</v>
      </c>
    </row>
    <row r="66" customFormat="false" ht="15" hidden="false" customHeight="false" outlineLevel="0" collapsed="false">
      <c r="A66" s="0" t="s">
        <v>943</v>
      </c>
      <c r="B66" s="0" t="s">
        <v>944</v>
      </c>
      <c r="C66" s="0" t="n">
        <v>1</v>
      </c>
      <c r="D66" s="0" t="n">
        <v>5</v>
      </c>
      <c r="E66" s="0" t="n">
        <v>1</v>
      </c>
      <c r="F66" s="0" t="n">
        <v>25</v>
      </c>
      <c r="G66" s="46" t="n">
        <v>0.000448269679038909</v>
      </c>
      <c r="H66" s="0" t="n">
        <v>0.0749748950671393</v>
      </c>
      <c r="I66" s="0" t="n">
        <v>0.299899580268557</v>
      </c>
      <c r="J66" s="0" t="n">
        <v>4</v>
      </c>
      <c r="K66" s="0" t="n">
        <v>4</v>
      </c>
      <c r="L66" s="46" t="n">
        <v>0.00033661533282841</v>
      </c>
      <c r="M66" s="0" t="n">
        <v>9606</v>
      </c>
      <c r="N66" s="0" t="s">
        <v>709</v>
      </c>
      <c r="O66" s="0" t="s">
        <v>335</v>
      </c>
      <c r="P66" s="0" t="s">
        <v>335</v>
      </c>
      <c r="Q66" s="0" t="s">
        <v>335</v>
      </c>
      <c r="R66" s="0" t="s">
        <v>764</v>
      </c>
      <c r="S66" s="0" t="s">
        <v>945</v>
      </c>
    </row>
    <row r="67" customFormat="false" ht="15" hidden="false" customHeight="false" outlineLevel="0" collapsed="false">
      <c r="A67" s="0" t="s">
        <v>946</v>
      </c>
      <c r="B67" s="0" t="s">
        <v>947</v>
      </c>
      <c r="C67" s="0" t="n">
        <v>5</v>
      </c>
      <c r="D67" s="0" t="n">
        <v>245</v>
      </c>
      <c r="E67" s="0" t="n">
        <v>0</v>
      </c>
      <c r="F67" s="0" t="n">
        <v>599</v>
      </c>
      <c r="G67" s="0" t="n">
        <v>0.0219652142729065</v>
      </c>
      <c r="H67" s="0" t="n">
        <v>0.0771450599834094</v>
      </c>
      <c r="I67" s="0" t="n">
        <v>0.308580239933637</v>
      </c>
      <c r="J67" s="0" t="n">
        <v>5</v>
      </c>
      <c r="K67" s="0" t="n">
        <v>64</v>
      </c>
      <c r="L67" s="0" t="n">
        <v>0.00538584532525456</v>
      </c>
      <c r="M67" s="0" t="n">
        <v>9606</v>
      </c>
      <c r="N67" s="0" t="s">
        <v>709</v>
      </c>
      <c r="O67" s="0" t="s">
        <v>948</v>
      </c>
      <c r="P67" s="0" t="s">
        <v>948</v>
      </c>
      <c r="S67" s="0" t="s">
        <v>949</v>
      </c>
    </row>
    <row r="68" customFormat="false" ht="15" hidden="false" customHeight="false" outlineLevel="0" collapsed="false">
      <c r="A68" s="0" t="s">
        <v>950</v>
      </c>
      <c r="B68" s="0" t="s">
        <v>951</v>
      </c>
      <c r="C68" s="0" t="n">
        <v>0</v>
      </c>
      <c r="D68" s="0" t="n">
        <v>6</v>
      </c>
      <c r="E68" s="0" t="n">
        <v>1</v>
      </c>
      <c r="F68" s="0" t="n">
        <v>24</v>
      </c>
      <c r="G68" s="46" t="n">
        <v>0.000537923614846691</v>
      </c>
      <c r="H68" s="0" t="n">
        <v>0.0801145176967083</v>
      </c>
      <c r="I68" s="0" t="n">
        <v>0.320458070786833</v>
      </c>
      <c r="J68" s="0" t="n">
        <v>1</v>
      </c>
      <c r="K68" s="0" t="n">
        <v>4</v>
      </c>
      <c r="L68" s="46" t="n">
        <v>0.00033661533282841</v>
      </c>
      <c r="M68" s="0" t="n">
        <v>9606</v>
      </c>
      <c r="N68" s="0" t="s">
        <v>709</v>
      </c>
      <c r="Q68" s="0" t="s">
        <v>558</v>
      </c>
      <c r="R68" s="0" t="s">
        <v>952</v>
      </c>
      <c r="S68" s="0" t="s">
        <v>953</v>
      </c>
    </row>
    <row r="69" customFormat="false" ht="15" hidden="false" customHeight="false" outlineLevel="0" collapsed="false">
      <c r="A69" s="0" t="s">
        <v>954</v>
      </c>
      <c r="B69" s="0" t="s">
        <v>955</v>
      </c>
      <c r="C69" s="0" t="n">
        <v>1</v>
      </c>
      <c r="D69" s="0" t="n">
        <v>28</v>
      </c>
      <c r="E69" s="0" t="n">
        <v>0</v>
      </c>
      <c r="F69" s="0" t="n">
        <v>2</v>
      </c>
      <c r="G69" s="0" t="n">
        <v>0.00251031020261789</v>
      </c>
      <c r="H69" s="0" t="n">
        <v>0.0801145176967083</v>
      </c>
      <c r="I69" s="0" t="n">
        <v>0.320458070786833</v>
      </c>
      <c r="J69" s="0" t="n">
        <v>1</v>
      </c>
      <c r="K69" s="0" t="n">
        <v>18</v>
      </c>
      <c r="L69" s="0" t="n">
        <v>0.00151476899772784</v>
      </c>
      <c r="M69" s="0" t="n">
        <v>9606</v>
      </c>
      <c r="N69" s="0" t="s">
        <v>709</v>
      </c>
      <c r="O69" s="0" t="s">
        <v>551</v>
      </c>
      <c r="P69" s="0" t="s">
        <v>551</v>
      </c>
      <c r="S69" s="0" t="s">
        <v>956</v>
      </c>
    </row>
    <row r="70" customFormat="false" ht="15" hidden="false" customHeight="false" outlineLevel="0" collapsed="false">
      <c r="A70" s="0" t="s">
        <v>957</v>
      </c>
      <c r="B70" s="0" t="s">
        <v>958</v>
      </c>
      <c r="C70" s="0" t="n">
        <v>1</v>
      </c>
      <c r="D70" s="0" t="n">
        <v>15</v>
      </c>
      <c r="E70" s="0" t="n">
        <v>0</v>
      </c>
      <c r="F70" s="0" t="n">
        <v>20</v>
      </c>
      <c r="G70" s="0" t="n">
        <v>0.00134480903711672</v>
      </c>
      <c r="H70" s="0" t="n">
        <v>0.0928416073345954</v>
      </c>
      <c r="I70" s="0" t="n">
        <v>0.33111129065571</v>
      </c>
      <c r="J70" s="0" t="n">
        <v>2</v>
      </c>
      <c r="K70" s="0" t="n">
        <v>2</v>
      </c>
      <c r="L70" s="46" t="n">
        <v>0.000168307666414205</v>
      </c>
      <c r="M70" s="0" t="n">
        <v>9606</v>
      </c>
      <c r="N70" s="0" t="s">
        <v>709</v>
      </c>
      <c r="O70" s="0" t="s">
        <v>547</v>
      </c>
      <c r="P70" s="0" t="s">
        <v>547</v>
      </c>
      <c r="S70" s="0" t="s">
        <v>959</v>
      </c>
    </row>
    <row r="71" customFormat="false" ht="15" hidden="false" customHeight="false" outlineLevel="0" collapsed="false">
      <c r="A71" s="0" t="s">
        <v>960</v>
      </c>
      <c r="B71" s="0" t="s">
        <v>961</v>
      </c>
      <c r="C71" s="0" t="n">
        <v>1</v>
      </c>
      <c r="D71" s="0" t="n">
        <v>36</v>
      </c>
      <c r="E71" s="0" t="n">
        <v>0</v>
      </c>
      <c r="F71" s="0" t="n">
        <v>0</v>
      </c>
      <c r="G71" s="0" t="n">
        <v>0.00322754168908015</v>
      </c>
      <c r="H71" s="0" t="n">
        <v>0.0953662648967709</v>
      </c>
      <c r="I71" s="0" t="n">
        <v>0.33111129065571</v>
      </c>
      <c r="J71" s="0" t="n">
        <v>4</v>
      </c>
      <c r="K71" s="0" t="n">
        <v>6</v>
      </c>
      <c r="L71" s="46" t="n">
        <v>0.000504922999242615</v>
      </c>
      <c r="M71" s="0" t="n">
        <v>9606</v>
      </c>
      <c r="N71" s="0" t="s">
        <v>709</v>
      </c>
      <c r="O71" s="0" t="s">
        <v>547</v>
      </c>
      <c r="P71" s="0" t="s">
        <v>547</v>
      </c>
      <c r="S71" s="0" t="s">
        <v>962</v>
      </c>
    </row>
    <row r="72" customFormat="false" ht="15" hidden="false" customHeight="false" outlineLevel="0" collapsed="false">
      <c r="A72" s="0" t="s">
        <v>963</v>
      </c>
      <c r="B72" s="0" t="s">
        <v>964</v>
      </c>
      <c r="C72" s="0" t="n">
        <v>0</v>
      </c>
      <c r="D72" s="0" t="n">
        <v>26</v>
      </c>
      <c r="E72" s="0" t="n">
        <v>1</v>
      </c>
      <c r="F72" s="0" t="n">
        <v>11</v>
      </c>
      <c r="G72" s="0" t="n">
        <v>0.00233100233100233</v>
      </c>
      <c r="H72" s="0" t="n">
        <v>0.0953662648967709</v>
      </c>
      <c r="I72" s="0" t="n">
        <v>0.33111129065571</v>
      </c>
      <c r="J72" s="0" t="n">
        <v>2</v>
      </c>
      <c r="K72" s="0" t="n">
        <v>11</v>
      </c>
      <c r="L72" s="46" t="n">
        <v>0.000925692165278128</v>
      </c>
      <c r="M72" s="0" t="n">
        <v>9606</v>
      </c>
      <c r="N72" s="0" t="s">
        <v>709</v>
      </c>
      <c r="Q72" s="0" t="s">
        <v>579</v>
      </c>
      <c r="R72" s="0" t="s">
        <v>807</v>
      </c>
      <c r="S72" s="0" t="s">
        <v>965</v>
      </c>
    </row>
    <row r="73" customFormat="false" ht="15" hidden="false" customHeight="false" outlineLevel="0" collapsed="false">
      <c r="A73" s="0" t="s">
        <v>966</v>
      </c>
      <c r="B73" s="0" t="s">
        <v>967</v>
      </c>
      <c r="C73" s="0" t="n">
        <v>1</v>
      </c>
      <c r="D73" s="0" t="n">
        <v>20</v>
      </c>
      <c r="E73" s="0" t="n">
        <v>0</v>
      </c>
      <c r="F73" s="0" t="n">
        <v>18</v>
      </c>
      <c r="G73" s="0" t="n">
        <v>0.00179307871615563</v>
      </c>
      <c r="H73" s="0" t="n">
        <v>0.0978840453242002</v>
      </c>
      <c r="I73" s="0" t="n">
        <v>0.33111129065571</v>
      </c>
      <c r="J73" s="0" t="n">
        <v>1</v>
      </c>
      <c r="K73" s="0" t="n">
        <v>8</v>
      </c>
      <c r="L73" s="46" t="n">
        <v>0.00067323066565682</v>
      </c>
      <c r="M73" s="0" t="n">
        <v>9606</v>
      </c>
      <c r="N73" s="0" t="s">
        <v>709</v>
      </c>
      <c r="O73" s="0" t="s">
        <v>551</v>
      </c>
      <c r="P73" s="0" t="s">
        <v>551</v>
      </c>
      <c r="S73" s="0" t="s">
        <v>968</v>
      </c>
    </row>
    <row r="74" customFormat="false" ht="15" hidden="false" customHeight="false" outlineLevel="0" collapsed="false">
      <c r="A74" s="0" t="s">
        <v>969</v>
      </c>
      <c r="B74" s="0" t="s">
        <v>970</v>
      </c>
      <c r="C74" s="0" t="n">
        <v>1</v>
      </c>
      <c r="D74" s="0" t="n">
        <v>18</v>
      </c>
      <c r="E74" s="0" t="n">
        <v>0</v>
      </c>
      <c r="F74" s="0" t="n">
        <v>22</v>
      </c>
      <c r="G74" s="0" t="n">
        <v>0.00161377084454007</v>
      </c>
      <c r="H74" s="0" t="n">
        <v>0.0978840453242002</v>
      </c>
      <c r="I74" s="0" t="n">
        <v>0.33111129065571</v>
      </c>
      <c r="J74" s="0" t="n">
        <v>1</v>
      </c>
      <c r="K74" s="0" t="n">
        <v>11</v>
      </c>
      <c r="L74" s="46" t="n">
        <v>0.000925692165278128</v>
      </c>
      <c r="M74" s="0" t="n">
        <v>9606</v>
      </c>
      <c r="N74" s="0" t="s">
        <v>709</v>
      </c>
      <c r="O74" s="0" t="s">
        <v>566</v>
      </c>
      <c r="P74" s="0" t="s">
        <v>566</v>
      </c>
      <c r="S74" s="0" t="s">
        <v>971</v>
      </c>
    </row>
    <row r="75" customFormat="false" ht="15" hidden="false" customHeight="false" outlineLevel="0" collapsed="false">
      <c r="A75" s="0" t="s">
        <v>972</v>
      </c>
      <c r="B75" s="0" t="s">
        <v>973</v>
      </c>
      <c r="C75" s="0" t="n">
        <v>2</v>
      </c>
      <c r="D75" s="0" t="n">
        <v>140</v>
      </c>
      <c r="E75" s="0" t="n">
        <v>1</v>
      </c>
      <c r="F75" s="0" t="n">
        <v>63</v>
      </c>
      <c r="G75" s="0" t="n">
        <v>0.0125515510130894</v>
      </c>
      <c r="H75" s="0" t="n">
        <v>0.102448471830245</v>
      </c>
      <c r="I75" s="0" t="n">
        <v>0.33111129065571</v>
      </c>
      <c r="J75" s="0" t="n">
        <v>16</v>
      </c>
      <c r="K75" s="0" t="n">
        <v>105</v>
      </c>
      <c r="L75" s="0" t="n">
        <v>0.00883615248674577</v>
      </c>
      <c r="M75" s="0" t="n">
        <v>9606</v>
      </c>
      <c r="N75" s="0" t="s">
        <v>709</v>
      </c>
      <c r="O75" s="0" t="s">
        <v>974</v>
      </c>
      <c r="P75" s="0" t="s">
        <v>974</v>
      </c>
      <c r="Q75" s="0" t="s">
        <v>547</v>
      </c>
      <c r="R75" s="0" t="s">
        <v>911</v>
      </c>
      <c r="S75" s="0" t="s">
        <v>975</v>
      </c>
    </row>
    <row r="76" customFormat="false" ht="15" hidden="false" customHeight="false" outlineLevel="0" collapsed="false">
      <c r="A76" s="0" t="s">
        <v>976</v>
      </c>
      <c r="B76" s="0" t="s">
        <v>977</v>
      </c>
      <c r="C76" s="0" t="n">
        <v>1</v>
      </c>
      <c r="D76" s="0" t="n">
        <v>40</v>
      </c>
      <c r="E76" s="0" t="n">
        <v>0</v>
      </c>
      <c r="F76" s="0" t="n">
        <v>0</v>
      </c>
      <c r="G76" s="0" t="n">
        <v>0.00358615743231127</v>
      </c>
      <c r="H76" s="0" t="n">
        <v>0.105396306830026</v>
      </c>
      <c r="I76" s="0" t="n">
        <v>0.33111129065571</v>
      </c>
      <c r="J76" s="0" t="n">
        <v>4</v>
      </c>
      <c r="K76" s="0" t="n">
        <v>8</v>
      </c>
      <c r="L76" s="46" t="n">
        <v>0.00067323066565682</v>
      </c>
      <c r="M76" s="0" t="n">
        <v>9606</v>
      </c>
      <c r="N76" s="0" t="s">
        <v>709</v>
      </c>
      <c r="O76" s="0" t="s">
        <v>547</v>
      </c>
      <c r="P76" s="0" t="s">
        <v>547</v>
      </c>
      <c r="S76" s="0" t="s">
        <v>978</v>
      </c>
    </row>
    <row r="77" customFormat="false" ht="15" hidden="false" customHeight="false" outlineLevel="0" collapsed="false">
      <c r="A77" s="0" t="s">
        <v>979</v>
      </c>
      <c r="B77" s="0" t="s">
        <v>980</v>
      </c>
      <c r="C77" s="0" t="n">
        <v>1</v>
      </c>
      <c r="D77" s="0" t="n">
        <v>38</v>
      </c>
      <c r="E77" s="0" t="n">
        <v>0</v>
      </c>
      <c r="F77" s="0" t="n">
        <v>2</v>
      </c>
      <c r="G77" s="0" t="n">
        <v>0.00340684956069571</v>
      </c>
      <c r="H77" s="0" t="n">
        <v>0.105396306830026</v>
      </c>
      <c r="I77" s="0" t="n">
        <v>0.33111129065571</v>
      </c>
      <c r="J77" s="0" t="n">
        <v>1</v>
      </c>
      <c r="K77" s="0" t="n">
        <v>10</v>
      </c>
      <c r="L77" s="46" t="n">
        <v>0.000841538332071025</v>
      </c>
      <c r="M77" s="0" t="n">
        <v>9606</v>
      </c>
      <c r="N77" s="0" t="s">
        <v>709</v>
      </c>
      <c r="O77" s="0" t="s">
        <v>547</v>
      </c>
      <c r="P77" s="0" t="s">
        <v>547</v>
      </c>
      <c r="S77" s="0" t="s">
        <v>981</v>
      </c>
    </row>
    <row r="78" customFormat="false" ht="15" hidden="false" customHeight="false" outlineLevel="0" collapsed="false">
      <c r="A78" s="0" t="s">
        <v>982</v>
      </c>
      <c r="B78" s="0" t="s">
        <v>983</v>
      </c>
      <c r="C78" s="0" t="n">
        <v>1</v>
      </c>
      <c r="D78" s="0" t="n">
        <v>6</v>
      </c>
      <c r="E78" s="0" t="n">
        <v>1</v>
      </c>
      <c r="F78" s="0" t="n">
        <v>39</v>
      </c>
      <c r="G78" s="46" t="n">
        <v>0.000537923614846691</v>
      </c>
      <c r="H78" s="0" t="n">
        <v>0.11037043021857</v>
      </c>
      <c r="I78" s="0" t="n">
        <v>0.33111129065571</v>
      </c>
      <c r="J78" s="0" t="n">
        <v>3</v>
      </c>
      <c r="K78" s="0" t="n">
        <v>3</v>
      </c>
      <c r="L78" s="46" t="n">
        <v>0.000252461499621307</v>
      </c>
      <c r="M78" s="0" t="n">
        <v>9606</v>
      </c>
      <c r="N78" s="0" t="s">
        <v>709</v>
      </c>
      <c r="O78" s="0" t="s">
        <v>547</v>
      </c>
      <c r="P78" s="0" t="s">
        <v>547</v>
      </c>
      <c r="Q78" s="0" t="s">
        <v>547</v>
      </c>
      <c r="R78" s="0" t="s">
        <v>547</v>
      </c>
      <c r="S78" s="0" t="s">
        <v>984</v>
      </c>
    </row>
    <row r="79" customFormat="false" ht="15" hidden="false" customHeight="false" outlineLevel="0" collapsed="false">
      <c r="A79" s="0" t="s">
        <v>985</v>
      </c>
      <c r="B79" s="0" t="s">
        <v>986</v>
      </c>
      <c r="C79" s="0" t="n">
        <v>1</v>
      </c>
      <c r="D79" s="0" t="n">
        <v>5</v>
      </c>
      <c r="E79" s="0" t="n">
        <v>0</v>
      </c>
      <c r="F79" s="0" t="n">
        <v>38</v>
      </c>
      <c r="G79" s="46" t="n">
        <v>0.000448269679038909</v>
      </c>
      <c r="H79" s="0" t="n">
        <v>0.112847331038681</v>
      </c>
      <c r="I79" s="0" t="n">
        <v>0.338541993116044</v>
      </c>
      <c r="J79" s="0" t="n">
        <v>5</v>
      </c>
      <c r="K79" s="0" t="n">
        <v>5</v>
      </c>
      <c r="L79" s="46" t="n">
        <v>0.000420769166035512</v>
      </c>
      <c r="M79" s="0" t="n">
        <v>9606</v>
      </c>
      <c r="N79" s="0" t="s">
        <v>709</v>
      </c>
      <c r="O79" s="0" t="s">
        <v>335</v>
      </c>
      <c r="P79" s="0" t="s">
        <v>335</v>
      </c>
      <c r="S79" s="0" t="s">
        <v>987</v>
      </c>
    </row>
    <row r="80" customFormat="false" ht="15" hidden="false" customHeight="false" outlineLevel="0" collapsed="false">
      <c r="A80" s="0" t="s">
        <v>988</v>
      </c>
      <c r="B80" s="0" t="s">
        <v>989</v>
      </c>
      <c r="C80" s="0" t="n">
        <v>0</v>
      </c>
      <c r="D80" s="0" t="n">
        <v>3</v>
      </c>
      <c r="E80" s="0" t="n">
        <v>1</v>
      </c>
      <c r="F80" s="0" t="n">
        <v>46</v>
      </c>
      <c r="G80" s="46" t="n">
        <v>0.000268961807423345</v>
      </c>
      <c r="H80" s="0" t="n">
        <v>0.120237606369711</v>
      </c>
      <c r="I80" s="0" t="n">
        <v>0.360712819109135</v>
      </c>
      <c r="J80" s="0" t="n">
        <v>1</v>
      </c>
      <c r="K80" s="0" t="n">
        <v>1</v>
      </c>
      <c r="L80" s="46" t="n">
        <v>8.41538332071025E-005</v>
      </c>
      <c r="M80" s="0" t="n">
        <v>9606</v>
      </c>
      <c r="N80" s="0" t="s">
        <v>709</v>
      </c>
      <c r="Q80" s="0" t="s">
        <v>372</v>
      </c>
      <c r="R80" s="0" t="s">
        <v>990</v>
      </c>
      <c r="S80" s="0" t="s">
        <v>991</v>
      </c>
    </row>
    <row r="81" customFormat="false" ht="15" hidden="false" customHeight="false" outlineLevel="0" collapsed="false">
      <c r="A81" s="0" t="s">
        <v>992</v>
      </c>
      <c r="B81" s="0" t="s">
        <v>993</v>
      </c>
      <c r="C81" s="0" t="n">
        <v>0</v>
      </c>
      <c r="D81" s="0" t="n">
        <v>35</v>
      </c>
      <c r="E81" s="0" t="n">
        <v>1</v>
      </c>
      <c r="F81" s="0" t="n">
        <v>12</v>
      </c>
      <c r="G81" s="0" t="n">
        <v>0.00313788775327236</v>
      </c>
      <c r="H81" s="0" t="n">
        <v>0.120237606369711</v>
      </c>
      <c r="I81" s="0" t="n">
        <v>0.360712819109135</v>
      </c>
      <c r="J81" s="0" t="n">
        <v>2</v>
      </c>
      <c r="K81" s="0" t="n">
        <v>16</v>
      </c>
      <c r="L81" s="0" t="n">
        <v>0.00134646133131364</v>
      </c>
      <c r="M81" s="0" t="n">
        <v>9606</v>
      </c>
      <c r="N81" s="0" t="s">
        <v>709</v>
      </c>
      <c r="Q81" s="0" t="s">
        <v>579</v>
      </c>
      <c r="R81" s="0" t="s">
        <v>807</v>
      </c>
      <c r="S81" s="0" t="s">
        <v>965</v>
      </c>
    </row>
    <row r="82" customFormat="false" ht="15" hidden="false" customHeight="false" outlineLevel="0" collapsed="false">
      <c r="A82" s="0" t="s">
        <v>994</v>
      </c>
      <c r="B82" s="0" t="s">
        <v>995</v>
      </c>
      <c r="C82" s="0" t="n">
        <v>2</v>
      </c>
      <c r="D82" s="0" t="n">
        <v>118</v>
      </c>
      <c r="E82" s="0" t="n">
        <v>2</v>
      </c>
      <c r="F82" s="0" t="n">
        <v>338</v>
      </c>
      <c r="G82" s="0" t="n">
        <v>0.0105791644253182</v>
      </c>
      <c r="H82" s="0" t="n">
        <v>0.127086626781879</v>
      </c>
      <c r="I82" s="0" t="n">
        <v>0.365877969973588</v>
      </c>
      <c r="J82" s="0" t="n">
        <v>2</v>
      </c>
      <c r="K82" s="0" t="n">
        <v>41</v>
      </c>
      <c r="L82" s="0" t="n">
        <v>0.0034503071614912</v>
      </c>
      <c r="M82" s="0" t="n">
        <v>9606</v>
      </c>
      <c r="N82" s="0" t="s">
        <v>709</v>
      </c>
      <c r="O82" s="0" t="s">
        <v>996</v>
      </c>
      <c r="P82" s="0" t="s">
        <v>996</v>
      </c>
      <c r="Q82" s="0" t="s">
        <v>566</v>
      </c>
      <c r="R82" s="0" t="s">
        <v>562</v>
      </c>
      <c r="S82" s="0" t="s">
        <v>566</v>
      </c>
      <c r="T82" s="0" t="s">
        <v>997</v>
      </c>
    </row>
    <row r="83" customFormat="false" ht="15" hidden="false" customHeight="false" outlineLevel="0" collapsed="false">
      <c r="A83" s="0" t="s">
        <v>998</v>
      </c>
      <c r="B83" s="0" t="s">
        <v>999</v>
      </c>
      <c r="C83" s="0" t="n">
        <v>1</v>
      </c>
      <c r="D83" s="0" t="n">
        <v>19</v>
      </c>
      <c r="E83" s="0" t="n">
        <v>1</v>
      </c>
      <c r="F83" s="0" t="n">
        <v>36</v>
      </c>
      <c r="G83" s="0" t="n">
        <v>0.00170342478034785</v>
      </c>
      <c r="H83" s="0" t="n">
        <v>0.127567617432993</v>
      </c>
      <c r="I83" s="0" t="n">
        <v>0.365877969973588</v>
      </c>
      <c r="J83" s="0" t="n">
        <v>9</v>
      </c>
      <c r="K83" s="0" t="n">
        <v>18</v>
      </c>
      <c r="L83" s="0" t="n">
        <v>0.00151476899772784</v>
      </c>
      <c r="M83" s="0" t="n">
        <v>9606</v>
      </c>
      <c r="N83" s="0" t="s">
        <v>709</v>
      </c>
      <c r="O83" s="0" t="s">
        <v>335</v>
      </c>
      <c r="P83" s="0" t="s">
        <v>335</v>
      </c>
      <c r="Q83" s="0" t="s">
        <v>335</v>
      </c>
      <c r="R83" s="0" t="s">
        <v>764</v>
      </c>
      <c r="S83" s="0" t="s">
        <v>1000</v>
      </c>
    </row>
    <row r="84" customFormat="false" ht="15" hidden="false" customHeight="false" outlineLevel="0" collapsed="false">
      <c r="A84" s="0" t="s">
        <v>1001</v>
      </c>
      <c r="B84" s="0" t="s">
        <v>1002</v>
      </c>
      <c r="C84" s="0" t="n">
        <v>0</v>
      </c>
      <c r="D84" s="0" t="n">
        <v>6</v>
      </c>
      <c r="E84" s="0" t="n">
        <v>1</v>
      </c>
      <c r="F84" s="0" t="n">
        <v>45</v>
      </c>
      <c r="G84" s="46" t="n">
        <v>0.000537923614846691</v>
      </c>
      <c r="H84" s="0" t="n">
        <v>0.127567617432993</v>
      </c>
      <c r="I84" s="0" t="n">
        <v>0.365877969973588</v>
      </c>
      <c r="J84" s="0" t="n">
        <v>1</v>
      </c>
      <c r="K84" s="0" t="n">
        <v>8</v>
      </c>
      <c r="L84" s="46" t="n">
        <v>0.00067323066565682</v>
      </c>
      <c r="M84" s="0" t="n">
        <v>9606</v>
      </c>
      <c r="N84" s="0" t="s">
        <v>709</v>
      </c>
      <c r="Q84" s="0" t="s">
        <v>579</v>
      </c>
      <c r="R84" s="0" t="s">
        <v>1003</v>
      </c>
      <c r="S84" s="0" t="s">
        <v>1004</v>
      </c>
    </row>
    <row r="85" customFormat="false" ht="15" hidden="false" customHeight="false" outlineLevel="0" collapsed="false">
      <c r="A85" s="0" t="s">
        <v>1005</v>
      </c>
      <c r="B85" s="0" t="s">
        <v>1006</v>
      </c>
      <c r="C85" s="0" t="n">
        <v>2</v>
      </c>
      <c r="D85" s="0" t="n">
        <v>40</v>
      </c>
      <c r="E85" s="0" t="n">
        <v>0</v>
      </c>
      <c r="F85" s="0" t="n">
        <v>197</v>
      </c>
      <c r="G85" s="0" t="n">
        <v>0.00358615743231127</v>
      </c>
      <c r="H85" s="0" t="n">
        <v>0.132400132840027</v>
      </c>
      <c r="I85" s="0" t="n">
        <v>0.365877969973588</v>
      </c>
      <c r="J85" s="0" t="n">
        <v>16</v>
      </c>
      <c r="K85" s="0" t="n">
        <v>27</v>
      </c>
      <c r="L85" s="0" t="n">
        <v>0.00227215349659176</v>
      </c>
      <c r="M85" s="0" t="n">
        <v>9606</v>
      </c>
      <c r="N85" s="0" t="s">
        <v>709</v>
      </c>
      <c r="O85" s="0" t="s">
        <v>1007</v>
      </c>
      <c r="P85" s="0" t="s">
        <v>1007</v>
      </c>
      <c r="S85" s="0" t="s">
        <v>1008</v>
      </c>
    </row>
    <row r="86" customFormat="false" ht="15" hidden="false" customHeight="false" outlineLevel="0" collapsed="false">
      <c r="A86" s="0" t="s">
        <v>1009</v>
      </c>
      <c r="B86" s="0" t="s">
        <v>1010</v>
      </c>
      <c r="C86" s="0" t="n">
        <v>1</v>
      </c>
      <c r="D86" s="0" t="n">
        <v>45</v>
      </c>
      <c r="E86" s="0" t="n">
        <v>0</v>
      </c>
      <c r="F86" s="0" t="n">
        <v>14</v>
      </c>
      <c r="G86" s="0" t="n">
        <v>0.00403442711135018</v>
      </c>
      <c r="H86" s="0" t="n">
        <v>0.139651686200251</v>
      </c>
      <c r="I86" s="0" t="n">
        <v>0.365877969973588</v>
      </c>
      <c r="J86" s="0" t="n">
        <v>1</v>
      </c>
      <c r="K86" s="0" t="n">
        <v>17</v>
      </c>
      <c r="L86" s="0" t="n">
        <v>0.00143061516452074</v>
      </c>
      <c r="M86" s="0" t="n">
        <v>9606</v>
      </c>
      <c r="N86" s="0" t="s">
        <v>709</v>
      </c>
      <c r="O86" s="0" t="s">
        <v>547</v>
      </c>
      <c r="P86" s="0" t="s">
        <v>547</v>
      </c>
      <c r="S86" s="0" t="s">
        <v>981</v>
      </c>
    </row>
    <row r="87" customFormat="false" ht="15" hidden="false" customHeight="false" outlineLevel="0" collapsed="false">
      <c r="A87" s="0" t="s">
        <v>1011</v>
      </c>
      <c r="B87" s="0" t="s">
        <v>1012</v>
      </c>
      <c r="C87" s="0" t="n">
        <v>2</v>
      </c>
      <c r="D87" s="0" t="n">
        <v>120</v>
      </c>
      <c r="E87" s="0" t="n">
        <v>2</v>
      </c>
      <c r="F87" s="0" t="n">
        <v>366</v>
      </c>
      <c r="G87" s="0" t="n">
        <v>0.0107584722969338</v>
      </c>
      <c r="H87" s="0" t="n">
        <v>0.14287464831124</v>
      </c>
      <c r="I87" s="0" t="n">
        <v>0.365877969973588</v>
      </c>
      <c r="J87" s="0" t="n">
        <v>2</v>
      </c>
      <c r="K87" s="0" t="n">
        <v>44</v>
      </c>
      <c r="L87" s="0" t="n">
        <v>0.00370276866111251</v>
      </c>
      <c r="M87" s="0" t="n">
        <v>9606</v>
      </c>
      <c r="N87" s="0" t="s">
        <v>709</v>
      </c>
      <c r="O87" s="0" t="s">
        <v>996</v>
      </c>
      <c r="P87" s="0" t="s">
        <v>996</v>
      </c>
      <c r="Q87" s="0" t="s">
        <v>566</v>
      </c>
      <c r="R87" s="0" t="s">
        <v>562</v>
      </c>
      <c r="S87" s="0" t="s">
        <v>566</v>
      </c>
      <c r="T87" s="0" t="s">
        <v>997</v>
      </c>
    </row>
    <row r="88" customFormat="false" ht="15" hidden="false" customHeight="false" outlineLevel="0" collapsed="false">
      <c r="A88" s="0" t="s">
        <v>1013</v>
      </c>
      <c r="B88" s="0" t="s">
        <v>1014</v>
      </c>
      <c r="C88" s="0" t="n">
        <v>1</v>
      </c>
      <c r="D88" s="0" t="n">
        <v>19</v>
      </c>
      <c r="E88" s="0" t="n">
        <v>0</v>
      </c>
      <c r="F88" s="0" t="n">
        <v>37</v>
      </c>
      <c r="G88" s="0" t="n">
        <v>0.00170342478034785</v>
      </c>
      <c r="H88" s="0" t="n">
        <v>0.144439309472457</v>
      </c>
      <c r="I88" s="0" t="n">
        <v>0.365877969973588</v>
      </c>
      <c r="J88" s="0" t="n">
        <v>1</v>
      </c>
      <c r="K88" s="0" t="n">
        <v>12</v>
      </c>
      <c r="L88" s="0" t="n">
        <v>0.00100984599848523</v>
      </c>
      <c r="M88" s="0" t="n">
        <v>9606</v>
      </c>
      <c r="N88" s="0" t="s">
        <v>709</v>
      </c>
      <c r="O88" s="0" t="s">
        <v>372</v>
      </c>
      <c r="P88" s="0" t="s">
        <v>372</v>
      </c>
      <c r="S88" s="0" t="s">
        <v>1015</v>
      </c>
    </row>
    <row r="89" customFormat="false" ht="15" hidden="false" customHeight="false" outlineLevel="0" collapsed="false">
      <c r="A89" s="0" t="s">
        <v>1016</v>
      </c>
      <c r="B89" s="0" t="s">
        <v>1017</v>
      </c>
      <c r="C89" s="0" t="n">
        <v>0</v>
      </c>
      <c r="D89" s="0" t="n">
        <v>12</v>
      </c>
      <c r="E89" s="0" t="n">
        <v>1</v>
      </c>
      <c r="F89" s="0" t="n">
        <v>47</v>
      </c>
      <c r="G89" s="0" t="n">
        <v>0.00107584722969338</v>
      </c>
      <c r="H89" s="0" t="n">
        <v>0.146823333093225</v>
      </c>
      <c r="I89" s="0" t="n">
        <v>0.365877969973588</v>
      </c>
      <c r="J89" s="0" t="n">
        <v>1</v>
      </c>
      <c r="K89" s="0" t="n">
        <v>6</v>
      </c>
      <c r="L89" s="46" t="n">
        <v>0.000504922999242615</v>
      </c>
      <c r="M89" s="0" t="n">
        <v>9606</v>
      </c>
      <c r="N89" s="0" t="s">
        <v>709</v>
      </c>
      <c r="Q89" s="0" t="s">
        <v>547</v>
      </c>
      <c r="R89" s="0" t="s">
        <v>749</v>
      </c>
      <c r="S89" s="0" t="s">
        <v>1018</v>
      </c>
    </row>
    <row r="90" customFormat="false" ht="15" hidden="false" customHeight="false" outlineLevel="0" collapsed="false">
      <c r="A90" s="0" t="s">
        <v>1019</v>
      </c>
      <c r="B90" s="0" t="s">
        <v>1020</v>
      </c>
      <c r="C90" s="0" t="n">
        <v>1</v>
      </c>
      <c r="D90" s="0" t="n">
        <v>45</v>
      </c>
      <c r="E90" s="0" t="n">
        <v>0</v>
      </c>
      <c r="F90" s="0" t="n">
        <v>14</v>
      </c>
      <c r="G90" s="0" t="n">
        <v>0.00403442711135018</v>
      </c>
      <c r="H90" s="0" t="n">
        <v>0.151571891277609</v>
      </c>
      <c r="I90" s="0" t="n">
        <v>0.365877969973588</v>
      </c>
      <c r="J90" s="0" t="n">
        <v>4</v>
      </c>
      <c r="K90" s="0" t="n">
        <v>7</v>
      </c>
      <c r="L90" s="46" t="n">
        <v>0.000589076832449718</v>
      </c>
      <c r="M90" s="0" t="n">
        <v>9606</v>
      </c>
      <c r="N90" s="0" t="s">
        <v>709</v>
      </c>
      <c r="O90" s="0" t="s">
        <v>547</v>
      </c>
      <c r="P90" s="0" t="s">
        <v>547</v>
      </c>
      <c r="S90" s="0" t="s">
        <v>1021</v>
      </c>
    </row>
    <row r="91" customFormat="false" ht="15" hidden="false" customHeight="false" outlineLevel="0" collapsed="false">
      <c r="A91" s="0" t="s">
        <v>1022</v>
      </c>
      <c r="B91" s="0" t="s">
        <v>1023</v>
      </c>
      <c r="C91" s="0" t="n">
        <v>1</v>
      </c>
      <c r="D91" s="0" t="n">
        <v>45</v>
      </c>
      <c r="E91" s="0" t="n">
        <v>0</v>
      </c>
      <c r="F91" s="0" t="n">
        <v>14</v>
      </c>
      <c r="G91" s="0" t="n">
        <v>0.00403442711135018</v>
      </c>
      <c r="H91" s="0" t="n">
        <v>0.151571891277609</v>
      </c>
      <c r="I91" s="0" t="n">
        <v>0.365877969973588</v>
      </c>
      <c r="J91" s="0" t="n">
        <v>4</v>
      </c>
      <c r="K91" s="0" t="n">
        <v>7</v>
      </c>
      <c r="L91" s="46" t="n">
        <v>0.000589076832449718</v>
      </c>
      <c r="M91" s="0" t="n">
        <v>9606</v>
      </c>
      <c r="N91" s="0" t="s">
        <v>709</v>
      </c>
      <c r="O91" s="0" t="s">
        <v>547</v>
      </c>
      <c r="P91" s="0" t="s">
        <v>547</v>
      </c>
      <c r="S91" s="0" t="s">
        <v>1024</v>
      </c>
    </row>
    <row r="92" customFormat="false" ht="15" hidden="false" customHeight="false" outlineLevel="0" collapsed="false">
      <c r="A92" s="0" t="s">
        <v>1025</v>
      </c>
      <c r="B92" s="0" t="s">
        <v>1026</v>
      </c>
      <c r="C92" s="0" t="n">
        <v>1</v>
      </c>
      <c r="D92" s="0" t="n">
        <v>33</v>
      </c>
      <c r="E92" s="0" t="n">
        <v>0</v>
      </c>
      <c r="F92" s="0" t="n">
        <v>35</v>
      </c>
      <c r="G92" s="0" t="n">
        <v>0.0029585798816568</v>
      </c>
      <c r="H92" s="0" t="n">
        <v>0.163330407043587</v>
      </c>
      <c r="I92" s="0" t="n">
        <v>0.365877969973588</v>
      </c>
      <c r="J92" s="0" t="n">
        <v>6</v>
      </c>
      <c r="K92" s="0" t="n">
        <v>27</v>
      </c>
      <c r="L92" s="0" t="n">
        <v>0.00227215349659176</v>
      </c>
      <c r="M92" s="0" t="n">
        <v>9606</v>
      </c>
      <c r="N92" s="0" t="s">
        <v>709</v>
      </c>
      <c r="O92" s="0" t="s">
        <v>197</v>
      </c>
      <c r="P92" s="0" t="s">
        <v>197</v>
      </c>
      <c r="S92" s="0" t="s">
        <v>1027</v>
      </c>
    </row>
    <row r="93" customFormat="false" ht="15" hidden="false" customHeight="false" outlineLevel="0" collapsed="false">
      <c r="A93" s="0" t="s">
        <v>1028</v>
      </c>
      <c r="B93" s="0" t="s">
        <v>1029</v>
      </c>
      <c r="C93" s="0" t="n">
        <v>1</v>
      </c>
      <c r="D93" s="0" t="n">
        <v>10</v>
      </c>
      <c r="E93" s="0" t="n">
        <v>0</v>
      </c>
      <c r="F93" s="0" t="n">
        <v>54</v>
      </c>
      <c r="G93" s="46" t="n">
        <v>0.000896539358077819</v>
      </c>
      <c r="H93" s="0" t="n">
        <v>0.163330407043587</v>
      </c>
      <c r="I93" s="0" t="n">
        <v>0.365877969973588</v>
      </c>
      <c r="J93" s="0" t="n">
        <v>1</v>
      </c>
      <c r="K93" s="0" t="n">
        <v>11</v>
      </c>
      <c r="L93" s="46" t="n">
        <v>0.000925692165278128</v>
      </c>
      <c r="M93" s="0" t="n">
        <v>9606</v>
      </c>
      <c r="N93" s="0" t="s">
        <v>709</v>
      </c>
      <c r="O93" s="0" t="s">
        <v>551</v>
      </c>
      <c r="P93" s="0" t="s">
        <v>551</v>
      </c>
      <c r="S93" s="0" t="s">
        <v>956</v>
      </c>
    </row>
    <row r="94" customFormat="false" ht="15" hidden="false" customHeight="false" outlineLevel="0" collapsed="false">
      <c r="A94" s="0" t="s">
        <v>1030</v>
      </c>
      <c r="B94" s="0" t="s">
        <v>1031</v>
      </c>
      <c r="C94" s="0" t="n">
        <v>1</v>
      </c>
      <c r="D94" s="0" t="n">
        <v>65</v>
      </c>
      <c r="E94" s="0" t="n">
        <v>0</v>
      </c>
      <c r="F94" s="0" t="n">
        <v>0</v>
      </c>
      <c r="G94" s="0" t="n">
        <v>0.00582750582750582</v>
      </c>
      <c r="H94" s="0" t="n">
        <v>0.165662896833996</v>
      </c>
      <c r="I94" s="0" t="n">
        <v>0.365877969973588</v>
      </c>
      <c r="J94" s="0" t="n">
        <v>4</v>
      </c>
      <c r="K94" s="0" t="n">
        <v>5</v>
      </c>
      <c r="L94" s="46" t="n">
        <v>0.000420769166035512</v>
      </c>
      <c r="M94" s="0" t="n">
        <v>9606</v>
      </c>
      <c r="N94" s="0" t="s">
        <v>709</v>
      </c>
      <c r="O94" s="0" t="s">
        <v>547</v>
      </c>
      <c r="P94" s="0" t="s">
        <v>547</v>
      </c>
      <c r="S94" s="0" t="s">
        <v>1032</v>
      </c>
    </row>
    <row r="95" customFormat="false" ht="15" hidden="false" customHeight="false" outlineLevel="0" collapsed="false">
      <c r="A95" s="0" t="s">
        <v>1033</v>
      </c>
      <c r="B95" s="0" t="s">
        <v>1034</v>
      </c>
      <c r="C95" s="0" t="n">
        <v>0</v>
      </c>
      <c r="D95" s="0" t="n">
        <v>15</v>
      </c>
      <c r="E95" s="0" t="n">
        <v>1</v>
      </c>
      <c r="F95" s="0" t="n">
        <v>57</v>
      </c>
      <c r="G95" s="0" t="n">
        <v>0.00134480903711672</v>
      </c>
      <c r="H95" s="0" t="n">
        <v>0.17030879959888</v>
      </c>
      <c r="I95" s="0" t="n">
        <v>0.365877969973588</v>
      </c>
      <c r="J95" s="0" t="n">
        <v>1</v>
      </c>
      <c r="K95" s="0" t="n">
        <v>6</v>
      </c>
      <c r="L95" s="46" t="n">
        <v>0.000504922999242615</v>
      </c>
      <c r="M95" s="0" t="n">
        <v>9606</v>
      </c>
      <c r="N95" s="0" t="s">
        <v>709</v>
      </c>
      <c r="Q95" s="0" t="s">
        <v>547</v>
      </c>
      <c r="R95" s="0" t="s">
        <v>749</v>
      </c>
      <c r="S95" s="0" t="s">
        <v>1035</v>
      </c>
    </row>
    <row r="96" customFormat="false" ht="15" hidden="false" customHeight="false" outlineLevel="0" collapsed="false">
      <c r="A96" s="0" t="s">
        <v>1036</v>
      </c>
      <c r="B96" s="0" t="s">
        <v>1037</v>
      </c>
      <c r="C96" s="0" t="n">
        <v>1</v>
      </c>
      <c r="D96" s="0" t="n">
        <v>58</v>
      </c>
      <c r="E96" s="0" t="n">
        <v>0</v>
      </c>
      <c r="F96" s="0" t="n">
        <v>14</v>
      </c>
      <c r="G96" s="0" t="n">
        <v>0.00519992827685135</v>
      </c>
      <c r="H96" s="0" t="n">
        <v>0.181813064871207</v>
      </c>
      <c r="I96" s="0" t="n">
        <v>0.365877969973588</v>
      </c>
      <c r="J96" s="0" t="n">
        <v>4</v>
      </c>
      <c r="K96" s="0" t="n">
        <v>8</v>
      </c>
      <c r="L96" s="46" t="n">
        <v>0.00067323066565682</v>
      </c>
      <c r="M96" s="0" t="n">
        <v>9606</v>
      </c>
      <c r="N96" s="0" t="s">
        <v>709</v>
      </c>
      <c r="O96" s="0" t="s">
        <v>547</v>
      </c>
      <c r="P96" s="0" t="s">
        <v>547</v>
      </c>
      <c r="S96" s="0" t="s">
        <v>1038</v>
      </c>
    </row>
    <row r="97" customFormat="false" ht="15" hidden="false" customHeight="false" outlineLevel="0" collapsed="false">
      <c r="A97" s="0" t="s">
        <v>1039</v>
      </c>
      <c r="B97" s="0" t="s">
        <v>1040</v>
      </c>
      <c r="C97" s="0" t="n">
        <v>7</v>
      </c>
      <c r="D97" s="0" t="n">
        <v>761</v>
      </c>
      <c r="E97" s="0" t="n">
        <v>1</v>
      </c>
      <c r="F97" s="0" t="n">
        <v>1058</v>
      </c>
      <c r="G97" s="0" t="n">
        <v>0.068226645149722</v>
      </c>
      <c r="H97" s="0" t="n">
        <v>0.181896599336371</v>
      </c>
      <c r="I97" s="0" t="n">
        <v>0.365877969973588</v>
      </c>
      <c r="J97" s="0" t="n">
        <v>52</v>
      </c>
      <c r="K97" s="0" t="n">
        <v>251</v>
      </c>
      <c r="L97" s="0" t="n">
        <v>0.0211226121349827</v>
      </c>
      <c r="M97" s="0" t="n">
        <v>9606</v>
      </c>
      <c r="N97" s="0" t="s">
        <v>709</v>
      </c>
      <c r="O97" s="0" t="s">
        <v>1041</v>
      </c>
      <c r="P97" s="0" t="s">
        <v>1041</v>
      </c>
      <c r="Q97" s="0" t="s">
        <v>566</v>
      </c>
      <c r="R97" s="0" t="s">
        <v>916</v>
      </c>
      <c r="S97" s="0" t="s">
        <v>1042</v>
      </c>
    </row>
    <row r="98" customFormat="false" ht="15" hidden="false" customHeight="false" outlineLevel="0" collapsed="false">
      <c r="A98" s="0" t="s">
        <v>1043</v>
      </c>
      <c r="B98" s="0" t="s">
        <v>1044</v>
      </c>
      <c r="C98" s="0" t="n">
        <v>0</v>
      </c>
      <c r="D98" s="0" t="n">
        <v>8</v>
      </c>
      <c r="E98" s="0" t="n">
        <v>1</v>
      </c>
      <c r="F98" s="0" t="n">
        <v>67</v>
      </c>
      <c r="G98" s="46" t="n">
        <v>0.000717231486462255</v>
      </c>
      <c r="H98" s="0" t="n">
        <v>0.186370927413865</v>
      </c>
      <c r="I98" s="0" t="n">
        <v>0.365877969973588</v>
      </c>
      <c r="J98" s="0" t="n">
        <v>2</v>
      </c>
      <c r="K98" s="0" t="n">
        <v>10</v>
      </c>
      <c r="L98" s="46" t="n">
        <v>0.000841538332071025</v>
      </c>
      <c r="M98" s="0" t="n">
        <v>9606</v>
      </c>
      <c r="N98" s="0" t="s">
        <v>709</v>
      </c>
      <c r="Q98" s="0" t="s">
        <v>547</v>
      </c>
      <c r="R98" s="0" t="s">
        <v>815</v>
      </c>
      <c r="S98" s="0" t="s">
        <v>1045</v>
      </c>
    </row>
    <row r="99" customFormat="false" ht="15" hidden="false" customHeight="false" outlineLevel="0" collapsed="false">
      <c r="A99" s="0" t="s">
        <v>1046</v>
      </c>
      <c r="B99" s="0" t="s">
        <v>1047</v>
      </c>
      <c r="C99" s="0" t="n">
        <v>0</v>
      </c>
      <c r="D99" s="0" t="n">
        <v>4</v>
      </c>
      <c r="E99" s="0" t="n">
        <v>1</v>
      </c>
      <c r="F99" s="0" t="n">
        <v>74</v>
      </c>
      <c r="G99" s="46" t="n">
        <v>0.000358615743231127</v>
      </c>
      <c r="H99" s="0" t="n">
        <v>0.188640530452127</v>
      </c>
      <c r="I99" s="0" t="n">
        <v>0.365877969973588</v>
      </c>
      <c r="J99" s="0" t="n">
        <v>2</v>
      </c>
      <c r="K99" s="0" t="n">
        <v>2</v>
      </c>
      <c r="L99" s="46" t="n">
        <v>0.000168307666414205</v>
      </c>
      <c r="M99" s="0" t="n">
        <v>9606</v>
      </c>
      <c r="N99" s="0" t="s">
        <v>709</v>
      </c>
      <c r="Q99" s="0" t="s">
        <v>547</v>
      </c>
      <c r="R99" s="0" t="s">
        <v>1048</v>
      </c>
      <c r="S99" s="0" t="s">
        <v>1049</v>
      </c>
      <c r="T99" s="0" t="s">
        <v>1050</v>
      </c>
    </row>
    <row r="100" customFormat="false" ht="15" hidden="false" customHeight="false" outlineLevel="0" collapsed="false">
      <c r="A100" s="0" t="s">
        <v>1051</v>
      </c>
      <c r="B100" s="0" t="s">
        <v>1052</v>
      </c>
      <c r="C100" s="0" t="n">
        <v>0</v>
      </c>
      <c r="D100" s="0" t="n">
        <v>10</v>
      </c>
      <c r="E100" s="0" t="n">
        <v>1</v>
      </c>
      <c r="F100" s="0" t="n">
        <v>67</v>
      </c>
      <c r="G100" s="46" t="n">
        <v>0.000896539358077819</v>
      </c>
      <c r="H100" s="0" t="n">
        <v>0.190903936809864</v>
      </c>
      <c r="I100" s="0" t="n">
        <v>0.365877969973588</v>
      </c>
      <c r="J100" s="0" t="n">
        <v>2</v>
      </c>
      <c r="K100" s="0" t="n">
        <v>13</v>
      </c>
      <c r="L100" s="0" t="n">
        <v>0.00109399983169233</v>
      </c>
      <c r="M100" s="0" t="n">
        <v>9606</v>
      </c>
      <c r="N100" s="0" t="s">
        <v>709</v>
      </c>
      <c r="Q100" s="0" t="s">
        <v>547</v>
      </c>
      <c r="R100" s="0" t="s">
        <v>815</v>
      </c>
      <c r="S100" s="0" t="s">
        <v>1045</v>
      </c>
    </row>
    <row r="101" customFormat="false" ht="15" hidden="false" customHeight="false" outlineLevel="0" collapsed="false">
      <c r="A101" s="0" t="s">
        <v>1053</v>
      </c>
      <c r="B101" s="0" t="s">
        <v>1054</v>
      </c>
      <c r="C101" s="0" t="n">
        <v>15</v>
      </c>
      <c r="D101" s="0" t="n">
        <v>2011</v>
      </c>
      <c r="E101" s="0" t="n">
        <v>6</v>
      </c>
      <c r="F101" s="0" t="n">
        <v>3546</v>
      </c>
      <c r="G101" s="0" t="n">
        <v>0.180294064909449</v>
      </c>
      <c r="H101" s="0" t="n">
        <v>0.202871711734126</v>
      </c>
      <c r="I101" s="0" t="n">
        <v>0.365877969973588</v>
      </c>
      <c r="J101" s="0" t="n">
        <v>40</v>
      </c>
      <c r="K101" s="0" t="n">
        <v>873</v>
      </c>
      <c r="L101" s="0" t="n">
        <v>0.0734662963898005</v>
      </c>
      <c r="M101" s="0" t="n">
        <v>9606</v>
      </c>
      <c r="N101" s="0" t="s">
        <v>709</v>
      </c>
      <c r="O101" s="0" t="s">
        <v>1055</v>
      </c>
      <c r="P101" s="0" t="s">
        <v>1055</v>
      </c>
      <c r="Q101" s="0" t="s">
        <v>564</v>
      </c>
      <c r="R101" s="0" t="s">
        <v>268</v>
      </c>
      <c r="S101" s="0" t="s">
        <v>547</v>
      </c>
      <c r="T101" s="0" t="s">
        <v>566</v>
      </c>
      <c r="U101" s="0" t="s">
        <v>579</v>
      </c>
      <c r="V101" s="0" t="s">
        <v>569</v>
      </c>
      <c r="W101" s="0" t="s">
        <v>1003</v>
      </c>
      <c r="X101" s="0" t="s">
        <v>268</v>
      </c>
      <c r="Y101" s="0" t="s">
        <v>1056</v>
      </c>
      <c r="Z101" s="0" t="s">
        <v>1057</v>
      </c>
      <c r="AA101" s="0" t="s">
        <v>1058</v>
      </c>
      <c r="AB101" s="0" t="s">
        <v>807</v>
      </c>
      <c r="AC101" s="0" t="s">
        <v>916</v>
      </c>
      <c r="AD101" s="0" t="s">
        <v>1059</v>
      </c>
    </row>
    <row r="102" customFormat="false" ht="15" hidden="false" customHeight="false" outlineLevel="0" collapsed="false">
      <c r="A102" s="0" t="s">
        <v>1060</v>
      </c>
      <c r="B102" s="0" t="s">
        <v>1061</v>
      </c>
      <c r="C102" s="0" t="n">
        <v>0</v>
      </c>
      <c r="D102" s="0" t="n">
        <v>26</v>
      </c>
      <c r="E102" s="0" t="n">
        <v>1</v>
      </c>
      <c r="F102" s="0" t="n">
        <v>58</v>
      </c>
      <c r="G102" s="0" t="n">
        <v>0.00233100233100233</v>
      </c>
      <c r="H102" s="0" t="n">
        <v>0.208790084354169</v>
      </c>
      <c r="I102" s="0" t="n">
        <v>0.365877969973588</v>
      </c>
      <c r="J102" s="0" t="n">
        <v>1</v>
      </c>
      <c r="K102" s="0" t="n">
        <v>13</v>
      </c>
      <c r="L102" s="0" t="n">
        <v>0.00109399983169233</v>
      </c>
      <c r="M102" s="0" t="n">
        <v>9606</v>
      </c>
      <c r="N102" s="0" t="s">
        <v>709</v>
      </c>
      <c r="Q102" s="0" t="s">
        <v>380</v>
      </c>
      <c r="R102" s="0" t="s">
        <v>931</v>
      </c>
      <c r="S102" s="0" t="s">
        <v>1062</v>
      </c>
    </row>
    <row r="103" customFormat="false" ht="15" hidden="false" customHeight="false" outlineLevel="0" collapsed="false">
      <c r="A103" s="0" t="s">
        <v>1063</v>
      </c>
      <c r="B103" s="0" t="s">
        <v>1064</v>
      </c>
      <c r="C103" s="0" t="n">
        <v>1</v>
      </c>
      <c r="D103" s="0" t="n">
        <v>32</v>
      </c>
      <c r="E103" s="0" t="n">
        <v>0</v>
      </c>
      <c r="F103" s="0" t="n">
        <v>56</v>
      </c>
      <c r="G103" s="0" t="n">
        <v>0.00286892594584902</v>
      </c>
      <c r="H103" s="0" t="n">
        <v>0.208790084354169</v>
      </c>
      <c r="I103" s="0" t="n">
        <v>0.365877969973588</v>
      </c>
      <c r="J103" s="0" t="n">
        <v>1</v>
      </c>
      <c r="K103" s="0" t="n">
        <v>14</v>
      </c>
      <c r="L103" s="0" t="n">
        <v>0.00117815366489943</v>
      </c>
      <c r="M103" s="0" t="n">
        <v>9606</v>
      </c>
      <c r="N103" s="0" t="s">
        <v>709</v>
      </c>
      <c r="O103" s="0" t="s">
        <v>570</v>
      </c>
      <c r="P103" s="0" t="s">
        <v>570</v>
      </c>
      <c r="S103" s="0" t="s">
        <v>1065</v>
      </c>
    </row>
    <row r="104" customFormat="false" ht="15" hidden="false" customHeight="false" outlineLevel="0" collapsed="false">
      <c r="A104" s="0" t="s">
        <v>1066</v>
      </c>
      <c r="B104" s="0" t="s">
        <v>1067</v>
      </c>
      <c r="C104" s="0" t="n">
        <v>0</v>
      </c>
      <c r="D104" s="0" t="n">
        <v>14</v>
      </c>
      <c r="E104" s="0" t="n">
        <v>1</v>
      </c>
      <c r="F104" s="0" t="n">
        <v>74</v>
      </c>
      <c r="G104" s="0" t="n">
        <v>0.00125515510130894</v>
      </c>
      <c r="H104" s="0" t="n">
        <v>0.213200803071503</v>
      </c>
      <c r="I104" s="0" t="n">
        <v>0.365877969973588</v>
      </c>
      <c r="J104" s="0" t="n">
        <v>3</v>
      </c>
      <c r="K104" s="0" t="n">
        <v>13</v>
      </c>
      <c r="L104" s="0" t="n">
        <v>0.00109399983169233</v>
      </c>
      <c r="M104" s="0" t="n">
        <v>9606</v>
      </c>
      <c r="N104" s="0" t="s">
        <v>709</v>
      </c>
      <c r="Q104" s="0" t="s">
        <v>547</v>
      </c>
      <c r="R104" s="0" t="s">
        <v>1049</v>
      </c>
      <c r="S104" s="0" t="s">
        <v>1068</v>
      </c>
    </row>
    <row r="105" customFormat="false" ht="15" hidden="false" customHeight="false" outlineLevel="0" collapsed="false">
      <c r="A105" s="0" t="s">
        <v>1069</v>
      </c>
      <c r="B105" s="0" t="s">
        <v>1070</v>
      </c>
      <c r="C105" s="0" t="n">
        <v>0</v>
      </c>
      <c r="D105" s="0" t="n">
        <v>8</v>
      </c>
      <c r="E105" s="0" t="n">
        <v>1</v>
      </c>
      <c r="F105" s="0" t="n">
        <v>81</v>
      </c>
      <c r="G105" s="46" t="n">
        <v>0.000717231486462255</v>
      </c>
      <c r="H105" s="0" t="n">
        <v>0.213200803071503</v>
      </c>
      <c r="I105" s="0" t="n">
        <v>0.365877969973588</v>
      </c>
      <c r="J105" s="0" t="n">
        <v>1</v>
      </c>
      <c r="K105" s="0" t="n">
        <v>5</v>
      </c>
      <c r="L105" s="46" t="n">
        <v>0.000420769166035512</v>
      </c>
      <c r="M105" s="0" t="n">
        <v>9606</v>
      </c>
      <c r="N105" s="0" t="s">
        <v>709</v>
      </c>
      <c r="Q105" s="0" t="s">
        <v>547</v>
      </c>
      <c r="R105" s="0" t="s">
        <v>1049</v>
      </c>
      <c r="S105" s="0" t="s">
        <v>1071</v>
      </c>
    </row>
    <row r="106" customFormat="false" ht="15" hidden="false" customHeight="false" outlineLevel="0" collapsed="false">
      <c r="A106" s="0" t="s">
        <v>1072</v>
      </c>
      <c r="B106" s="0" t="s">
        <v>1073</v>
      </c>
      <c r="C106" s="0" t="n">
        <v>1</v>
      </c>
      <c r="D106" s="0" t="n">
        <v>48</v>
      </c>
      <c r="E106" s="0" t="n">
        <v>1</v>
      </c>
      <c r="F106" s="0" t="n">
        <v>62</v>
      </c>
      <c r="G106" s="0" t="n">
        <v>0.00430338891877353</v>
      </c>
      <c r="H106" s="0" t="n">
        <v>0.221950165244615</v>
      </c>
      <c r="I106" s="0" t="n">
        <v>0.365877969973588</v>
      </c>
      <c r="J106" s="0" t="n">
        <v>2</v>
      </c>
      <c r="K106" s="0" t="n">
        <v>18</v>
      </c>
      <c r="L106" s="0" t="n">
        <v>0.00151476899772784</v>
      </c>
      <c r="M106" s="0" t="n">
        <v>9606</v>
      </c>
      <c r="N106" s="0" t="s">
        <v>709</v>
      </c>
      <c r="O106" s="0" t="s">
        <v>311</v>
      </c>
      <c r="P106" s="0" t="s">
        <v>311</v>
      </c>
      <c r="Q106" s="0" t="s">
        <v>311</v>
      </c>
      <c r="R106" s="0" t="s">
        <v>873</v>
      </c>
      <c r="S106" s="0" t="s">
        <v>1074</v>
      </c>
    </row>
    <row r="107" customFormat="false" ht="15" hidden="false" customHeight="false" outlineLevel="0" collapsed="false">
      <c r="A107" s="0" t="s">
        <v>1075</v>
      </c>
      <c r="B107" s="0" t="s">
        <v>1076</v>
      </c>
      <c r="C107" s="0" t="n">
        <v>0</v>
      </c>
      <c r="D107" s="0" t="n">
        <v>6</v>
      </c>
      <c r="E107" s="0" t="n">
        <v>1</v>
      </c>
      <c r="F107" s="0" t="n">
        <v>89</v>
      </c>
      <c r="G107" s="46" t="n">
        <v>0.000537923614846691</v>
      </c>
      <c r="H107" s="0" t="n">
        <v>0.224122583616491</v>
      </c>
      <c r="I107" s="0" t="n">
        <v>0.365877969973588</v>
      </c>
      <c r="J107" s="0" t="n">
        <v>2</v>
      </c>
      <c r="K107" s="0" t="n">
        <v>8</v>
      </c>
      <c r="L107" s="46" t="n">
        <v>0.00067323066565682</v>
      </c>
      <c r="M107" s="0" t="n">
        <v>9606</v>
      </c>
      <c r="N107" s="0" t="s">
        <v>709</v>
      </c>
      <c r="Q107" s="0" t="s">
        <v>547</v>
      </c>
      <c r="R107" s="0" t="s">
        <v>815</v>
      </c>
      <c r="S107" s="0" t="s">
        <v>1077</v>
      </c>
    </row>
    <row r="108" customFormat="false" ht="15" hidden="false" customHeight="false" outlineLevel="0" collapsed="false">
      <c r="A108" s="0" t="s">
        <v>1078</v>
      </c>
      <c r="B108" s="0" t="s">
        <v>1079</v>
      </c>
      <c r="C108" s="0" t="n">
        <v>1</v>
      </c>
      <c r="D108" s="0" t="n">
        <v>77</v>
      </c>
      <c r="E108" s="0" t="n">
        <v>0</v>
      </c>
      <c r="F108" s="0" t="n">
        <v>18</v>
      </c>
      <c r="G108" s="0" t="n">
        <v>0.00690335305719921</v>
      </c>
      <c r="H108" s="0" t="n">
        <v>0.228449625305292</v>
      </c>
      <c r="I108" s="0" t="n">
        <v>0.365877969973588</v>
      </c>
      <c r="J108" s="0" t="n">
        <v>1</v>
      </c>
      <c r="K108" s="0" t="n">
        <v>22</v>
      </c>
      <c r="L108" s="0" t="n">
        <v>0.00185138433055625</v>
      </c>
      <c r="M108" s="0" t="n">
        <v>9606</v>
      </c>
      <c r="N108" s="0" t="s">
        <v>709</v>
      </c>
      <c r="O108" s="0" t="s">
        <v>566</v>
      </c>
      <c r="P108" s="0" t="s">
        <v>566</v>
      </c>
      <c r="S108" s="0" t="s">
        <v>867</v>
      </c>
    </row>
    <row r="109" customFormat="false" ht="15" hidden="false" customHeight="false" outlineLevel="0" collapsed="false">
      <c r="A109" s="0" t="s">
        <v>1080</v>
      </c>
      <c r="B109" s="0" t="s">
        <v>1081</v>
      </c>
      <c r="C109" s="0" t="n">
        <v>1</v>
      </c>
      <c r="D109" s="0" t="n">
        <v>17</v>
      </c>
      <c r="E109" s="0" t="n">
        <v>0</v>
      </c>
      <c r="F109" s="0" t="n">
        <v>80</v>
      </c>
      <c r="G109" s="0" t="n">
        <v>0.00152411690873229</v>
      </c>
      <c r="H109" s="0" t="n">
        <v>0.230604280327347</v>
      </c>
      <c r="I109" s="0" t="n">
        <v>0.365877969973588</v>
      </c>
      <c r="J109" s="0" t="n">
        <v>4</v>
      </c>
      <c r="K109" s="0" t="n">
        <v>9</v>
      </c>
      <c r="L109" s="46" t="n">
        <v>0.000757384498863923</v>
      </c>
      <c r="M109" s="0" t="n">
        <v>9606</v>
      </c>
      <c r="N109" s="0" t="s">
        <v>709</v>
      </c>
      <c r="O109" s="0" t="s">
        <v>335</v>
      </c>
      <c r="P109" s="0" t="s">
        <v>335</v>
      </c>
      <c r="S109" s="0" t="s">
        <v>1082</v>
      </c>
    </row>
    <row r="110" customFormat="false" ht="15" hidden="false" customHeight="false" outlineLevel="0" collapsed="false">
      <c r="A110" s="0" t="s">
        <v>1083</v>
      </c>
      <c r="B110" s="0" t="s">
        <v>1084</v>
      </c>
      <c r="C110" s="0" t="n">
        <v>1</v>
      </c>
      <c r="D110" s="0" t="n">
        <v>95</v>
      </c>
      <c r="E110" s="0" t="n">
        <v>0</v>
      </c>
      <c r="F110" s="0" t="n">
        <v>0</v>
      </c>
      <c r="G110" s="0" t="n">
        <v>0.00851712390173928</v>
      </c>
      <c r="H110" s="0" t="n">
        <v>0.232753045868865</v>
      </c>
      <c r="I110" s="0" t="n">
        <v>0.365877969973588</v>
      </c>
      <c r="J110" s="0" t="n">
        <v>2</v>
      </c>
      <c r="K110" s="0" t="n">
        <v>2</v>
      </c>
      <c r="L110" s="46" t="n">
        <v>0.000168307666414205</v>
      </c>
      <c r="M110" s="0" t="n">
        <v>9606</v>
      </c>
      <c r="N110" s="0" t="s">
        <v>709</v>
      </c>
      <c r="O110" s="0" t="s">
        <v>587</v>
      </c>
      <c r="P110" s="0" t="s">
        <v>587</v>
      </c>
      <c r="S110" s="0" t="s">
        <v>1085</v>
      </c>
    </row>
    <row r="111" customFormat="false" ht="15" hidden="false" customHeight="false" outlineLevel="0" collapsed="false">
      <c r="A111" s="0" t="s">
        <v>1086</v>
      </c>
      <c r="B111" s="0" t="s">
        <v>1087</v>
      </c>
      <c r="C111" s="0" t="n">
        <v>1</v>
      </c>
      <c r="D111" s="0" t="n">
        <v>81</v>
      </c>
      <c r="E111" s="0" t="n">
        <v>0</v>
      </c>
      <c r="F111" s="0" t="n">
        <v>14</v>
      </c>
      <c r="G111" s="0" t="n">
        <v>0.00726196880043033</v>
      </c>
      <c r="H111" s="0" t="n">
        <v>0.232753045868865</v>
      </c>
      <c r="I111" s="0" t="n">
        <v>0.365877969973588</v>
      </c>
      <c r="J111" s="0" t="n">
        <v>20</v>
      </c>
      <c r="K111" s="0" t="n">
        <v>34</v>
      </c>
      <c r="L111" s="0" t="n">
        <v>0.00286123032904148</v>
      </c>
      <c r="M111" s="0" t="n">
        <v>9606</v>
      </c>
      <c r="N111" s="0" t="s">
        <v>709</v>
      </c>
      <c r="O111" s="0" t="s">
        <v>547</v>
      </c>
      <c r="P111" s="0" t="s">
        <v>547</v>
      </c>
      <c r="S111" s="0" t="s">
        <v>1088</v>
      </c>
    </row>
    <row r="112" customFormat="false" ht="15" hidden="false" customHeight="false" outlineLevel="0" collapsed="false">
      <c r="A112" s="0" t="s">
        <v>1089</v>
      </c>
      <c r="B112" s="0" t="s">
        <v>1090</v>
      </c>
      <c r="C112" s="0" t="n">
        <v>1</v>
      </c>
      <c r="D112" s="0" t="n">
        <v>30</v>
      </c>
      <c r="E112" s="0" t="n">
        <v>0</v>
      </c>
      <c r="F112" s="0" t="n">
        <v>68</v>
      </c>
      <c r="G112" s="0" t="n">
        <v>0.00268961807423345</v>
      </c>
      <c r="H112" s="0" t="n">
        <v>0.232753045868865</v>
      </c>
      <c r="I112" s="0" t="n">
        <v>0.365877969973588</v>
      </c>
      <c r="J112" s="0" t="n">
        <v>1</v>
      </c>
      <c r="K112" s="0" t="n">
        <v>5</v>
      </c>
      <c r="L112" s="46" t="n">
        <v>0.000420769166035512</v>
      </c>
      <c r="M112" s="0" t="n">
        <v>9606</v>
      </c>
      <c r="N112" s="0" t="s">
        <v>709</v>
      </c>
      <c r="O112" s="0" t="s">
        <v>547</v>
      </c>
      <c r="P112" s="0" t="s">
        <v>547</v>
      </c>
      <c r="S112" s="0" t="s">
        <v>1091</v>
      </c>
    </row>
    <row r="113" customFormat="false" ht="15" hidden="false" customHeight="false" outlineLevel="0" collapsed="false">
      <c r="A113" s="0" t="s">
        <v>1092</v>
      </c>
      <c r="B113" s="0" t="s">
        <v>1093</v>
      </c>
      <c r="C113" s="0" t="n">
        <v>1</v>
      </c>
      <c r="D113" s="0" t="n">
        <v>15</v>
      </c>
      <c r="E113" s="0" t="n">
        <v>0</v>
      </c>
      <c r="F113" s="0" t="n">
        <v>85</v>
      </c>
      <c r="G113" s="0" t="n">
        <v>0.00134480903711672</v>
      </c>
      <c r="H113" s="0" t="n">
        <v>0.234895937678984</v>
      </c>
      <c r="I113" s="0" t="n">
        <v>0.365877969973588</v>
      </c>
      <c r="J113" s="0" t="n">
        <v>3</v>
      </c>
      <c r="K113" s="0" t="n">
        <v>3</v>
      </c>
      <c r="L113" s="46" t="n">
        <v>0.000252461499621307</v>
      </c>
      <c r="M113" s="0" t="n">
        <v>9606</v>
      </c>
      <c r="N113" s="0" t="s">
        <v>709</v>
      </c>
      <c r="O113" s="0" t="s">
        <v>547</v>
      </c>
      <c r="P113" s="0" t="s">
        <v>547</v>
      </c>
      <c r="S113" s="0" t="s">
        <v>1094</v>
      </c>
    </row>
    <row r="114" customFormat="false" ht="15" hidden="false" customHeight="false" outlineLevel="0" collapsed="false">
      <c r="A114" s="0" t="s">
        <v>1095</v>
      </c>
      <c r="B114" s="0" t="s">
        <v>1096</v>
      </c>
      <c r="C114" s="0" t="n">
        <v>0</v>
      </c>
      <c r="D114" s="0" t="n">
        <v>5</v>
      </c>
      <c r="E114" s="0" t="n">
        <v>1</v>
      </c>
      <c r="F114" s="0" t="n">
        <v>94</v>
      </c>
      <c r="G114" s="46" t="n">
        <v>0.000448269679038909</v>
      </c>
      <c r="H114" s="0" t="n">
        <v>0.24128952759521</v>
      </c>
      <c r="I114" s="0" t="n">
        <v>0.365877969973588</v>
      </c>
      <c r="J114" s="0" t="n">
        <v>1</v>
      </c>
      <c r="K114" s="0" t="n">
        <v>5</v>
      </c>
      <c r="L114" s="46" t="n">
        <v>0.000420769166035512</v>
      </c>
      <c r="M114" s="0" t="n">
        <v>9606</v>
      </c>
      <c r="N114" s="0" t="s">
        <v>709</v>
      </c>
      <c r="Q114" s="0" t="s">
        <v>569</v>
      </c>
      <c r="R114" s="0" t="s">
        <v>874</v>
      </c>
      <c r="S114" s="0" t="s">
        <v>1097</v>
      </c>
    </row>
    <row r="115" customFormat="false" ht="15" hidden="false" customHeight="false" outlineLevel="0" collapsed="false">
      <c r="A115" s="0" t="s">
        <v>1098</v>
      </c>
      <c r="B115" s="0" t="s">
        <v>1099</v>
      </c>
      <c r="C115" s="0" t="n">
        <v>1</v>
      </c>
      <c r="D115" s="0" t="n">
        <v>44</v>
      </c>
      <c r="E115" s="0" t="n">
        <v>0</v>
      </c>
      <c r="F115" s="0" t="n">
        <v>60</v>
      </c>
      <c r="G115" s="0" t="n">
        <v>0.0039447731755424</v>
      </c>
      <c r="H115" s="0" t="n">
        <v>0.24763081695628</v>
      </c>
      <c r="I115" s="0" t="n">
        <v>0.365877969973588</v>
      </c>
      <c r="J115" s="0" t="n">
        <v>1</v>
      </c>
      <c r="K115" s="0" t="n">
        <v>39</v>
      </c>
      <c r="L115" s="0" t="n">
        <v>0.003281999495077</v>
      </c>
      <c r="M115" s="0" t="n">
        <v>9606</v>
      </c>
      <c r="N115" s="0" t="s">
        <v>709</v>
      </c>
      <c r="O115" s="0" t="s">
        <v>569</v>
      </c>
      <c r="P115" s="0" t="s">
        <v>569</v>
      </c>
      <c r="S115" s="0" t="s">
        <v>894</v>
      </c>
    </row>
    <row r="116" customFormat="false" ht="15" hidden="false" customHeight="false" outlineLevel="0" collapsed="false">
      <c r="A116" s="0" t="s">
        <v>1100</v>
      </c>
      <c r="B116" s="0" t="s">
        <v>1101</v>
      </c>
      <c r="C116" s="0" t="n">
        <v>1</v>
      </c>
      <c r="D116" s="0" t="n">
        <v>41</v>
      </c>
      <c r="E116" s="0" t="n">
        <v>0</v>
      </c>
      <c r="F116" s="0" t="n">
        <v>70</v>
      </c>
      <c r="G116" s="0" t="n">
        <v>0.00367581136811906</v>
      </c>
      <c r="H116" s="0" t="n">
        <v>0.253920224362744</v>
      </c>
      <c r="I116" s="0" t="n">
        <v>0.365877969973588</v>
      </c>
      <c r="J116" s="0" t="n">
        <v>1</v>
      </c>
      <c r="K116" s="0" t="n">
        <v>12</v>
      </c>
      <c r="L116" s="0" t="n">
        <v>0.00100984599848523</v>
      </c>
      <c r="M116" s="0" t="n">
        <v>9606</v>
      </c>
      <c r="N116" s="0" t="s">
        <v>709</v>
      </c>
      <c r="O116" s="0" t="s">
        <v>547</v>
      </c>
      <c r="P116" s="0" t="s">
        <v>547</v>
      </c>
      <c r="S116" s="0" t="s">
        <v>1091</v>
      </c>
    </row>
    <row r="117" customFormat="false" ht="15" hidden="false" customHeight="false" outlineLevel="0" collapsed="false">
      <c r="A117" s="0" t="s">
        <v>1102</v>
      </c>
      <c r="B117" s="0" t="s">
        <v>1103</v>
      </c>
      <c r="C117" s="0" t="n">
        <v>0</v>
      </c>
      <c r="D117" s="0" t="n">
        <v>34</v>
      </c>
      <c r="E117" s="0" t="n">
        <v>1</v>
      </c>
      <c r="F117" s="0" t="n">
        <v>74</v>
      </c>
      <c r="G117" s="0" t="n">
        <v>0.00304823381746458</v>
      </c>
      <c r="H117" s="0" t="n">
        <v>0.258084544557978</v>
      </c>
      <c r="I117" s="0" t="n">
        <v>0.365877969973588</v>
      </c>
      <c r="J117" s="0" t="n">
        <v>2</v>
      </c>
      <c r="K117" s="0" t="n">
        <v>22</v>
      </c>
      <c r="L117" s="0" t="n">
        <v>0.00185138433055625</v>
      </c>
      <c r="M117" s="0" t="n">
        <v>9606</v>
      </c>
      <c r="N117" s="0" t="s">
        <v>709</v>
      </c>
      <c r="Q117" s="0" t="s">
        <v>547</v>
      </c>
      <c r="R117" s="0" t="s">
        <v>815</v>
      </c>
      <c r="S117" s="0" t="s">
        <v>1045</v>
      </c>
    </row>
    <row r="118" customFormat="false" ht="15" hidden="false" customHeight="false" outlineLevel="0" collapsed="false">
      <c r="A118" s="0" t="s">
        <v>1104</v>
      </c>
      <c r="B118" s="0" t="s">
        <v>1105</v>
      </c>
      <c r="C118" s="0" t="n">
        <v>0</v>
      </c>
      <c r="D118" s="0" t="n">
        <v>34</v>
      </c>
      <c r="E118" s="0" t="n">
        <v>1</v>
      </c>
      <c r="F118" s="0" t="n">
        <v>74</v>
      </c>
      <c r="G118" s="0" t="n">
        <v>0.00304823381746458</v>
      </c>
      <c r="H118" s="0" t="n">
        <v>0.258084544557978</v>
      </c>
      <c r="I118" s="0" t="n">
        <v>0.365877969973588</v>
      </c>
      <c r="J118" s="0" t="n">
        <v>2</v>
      </c>
      <c r="K118" s="0" t="n">
        <v>23</v>
      </c>
      <c r="L118" s="0" t="n">
        <v>0.00193553816376335</v>
      </c>
      <c r="M118" s="0" t="n">
        <v>9606</v>
      </c>
      <c r="N118" s="0" t="s">
        <v>709</v>
      </c>
      <c r="Q118" s="0" t="s">
        <v>547</v>
      </c>
      <c r="R118" s="0" t="s">
        <v>815</v>
      </c>
      <c r="S118" s="0" t="s">
        <v>1045</v>
      </c>
    </row>
    <row r="119" customFormat="false" ht="15" hidden="false" customHeight="false" outlineLevel="0" collapsed="false">
      <c r="A119" s="0" t="s">
        <v>1106</v>
      </c>
      <c r="B119" s="0" t="s">
        <v>1107</v>
      </c>
      <c r="C119" s="0" t="n">
        <v>0</v>
      </c>
      <c r="D119" s="0" t="n">
        <v>10</v>
      </c>
      <c r="E119" s="0" t="n">
        <v>1</v>
      </c>
      <c r="F119" s="0" t="n">
        <v>107</v>
      </c>
      <c r="G119" s="46" t="n">
        <v>0.000896539358077819</v>
      </c>
      <c r="H119" s="0" t="n">
        <v>0.266345051356601</v>
      </c>
      <c r="I119" s="0" t="n">
        <v>0.365877969973588</v>
      </c>
      <c r="J119" s="0" t="n">
        <v>2</v>
      </c>
      <c r="K119" s="0" t="n">
        <v>5</v>
      </c>
      <c r="L119" s="46" t="n">
        <v>0.000420769166035512</v>
      </c>
      <c r="M119" s="0" t="n">
        <v>9606</v>
      </c>
      <c r="N119" s="0" t="s">
        <v>709</v>
      </c>
      <c r="Q119" s="0" t="s">
        <v>579</v>
      </c>
      <c r="R119" s="0" t="s">
        <v>742</v>
      </c>
      <c r="S119" s="0" t="s">
        <v>1108</v>
      </c>
    </row>
    <row r="120" customFormat="false" ht="15" hidden="false" customHeight="false" outlineLevel="0" collapsed="false">
      <c r="A120" s="0" t="s">
        <v>1109</v>
      </c>
      <c r="B120" s="0" t="s">
        <v>1110</v>
      </c>
      <c r="C120" s="0" t="n">
        <v>0</v>
      </c>
      <c r="D120" s="0" t="n">
        <v>61</v>
      </c>
      <c r="E120" s="0" t="n">
        <v>1</v>
      </c>
      <c r="F120" s="0" t="n">
        <v>54</v>
      </c>
      <c r="G120" s="0" t="n">
        <v>0.0054688900842747</v>
      </c>
      <c r="H120" s="0" t="n">
        <v>0.272481291862655</v>
      </c>
      <c r="I120" s="0" t="n">
        <v>0.365877969973588</v>
      </c>
      <c r="J120" s="0" t="n">
        <v>1</v>
      </c>
      <c r="K120" s="0" t="n">
        <v>12</v>
      </c>
      <c r="L120" s="0" t="n">
        <v>0.00100984599848523</v>
      </c>
      <c r="M120" s="0" t="n">
        <v>9606</v>
      </c>
      <c r="N120" s="0" t="s">
        <v>709</v>
      </c>
      <c r="Q120" s="0" t="s">
        <v>569</v>
      </c>
      <c r="R120" s="0" t="s">
        <v>743</v>
      </c>
      <c r="S120" s="0" t="s">
        <v>1111</v>
      </c>
    </row>
    <row r="121" customFormat="false" ht="15" hidden="false" customHeight="false" outlineLevel="0" collapsed="false">
      <c r="A121" s="0" t="s">
        <v>1112</v>
      </c>
      <c r="B121" s="0" t="s">
        <v>1113</v>
      </c>
      <c r="C121" s="0" t="n">
        <v>11</v>
      </c>
      <c r="D121" s="0" t="n">
        <v>1417</v>
      </c>
      <c r="E121" s="0" t="n">
        <v>2</v>
      </c>
      <c r="F121" s="0" t="n">
        <v>2473</v>
      </c>
      <c r="G121" s="0" t="n">
        <v>0.127039627039627</v>
      </c>
      <c r="H121" s="0" t="n">
        <v>0.273216293003113</v>
      </c>
      <c r="I121" s="0" t="n">
        <v>0.365877969973588</v>
      </c>
      <c r="J121" s="0" t="n">
        <v>22</v>
      </c>
      <c r="K121" s="0" t="n">
        <v>512</v>
      </c>
      <c r="L121" s="0" t="n">
        <v>0.0430867626020365</v>
      </c>
      <c r="M121" s="0" t="n">
        <v>9606</v>
      </c>
      <c r="N121" s="0" t="s">
        <v>709</v>
      </c>
      <c r="O121" s="0" t="s">
        <v>1114</v>
      </c>
      <c r="P121" s="0" t="s">
        <v>1114</v>
      </c>
      <c r="Q121" s="0" t="s">
        <v>547</v>
      </c>
      <c r="R121" s="0" t="s">
        <v>579</v>
      </c>
      <c r="S121" s="0" t="s">
        <v>1003</v>
      </c>
      <c r="T121" s="0" t="s">
        <v>1056</v>
      </c>
      <c r="U121" s="0" t="s">
        <v>807</v>
      </c>
      <c r="V121" s="0" t="s">
        <v>1115</v>
      </c>
    </row>
    <row r="122" customFormat="false" ht="15" hidden="false" customHeight="false" outlineLevel="0" collapsed="false">
      <c r="A122" s="0" t="s">
        <v>1116</v>
      </c>
      <c r="B122" s="0" t="s">
        <v>1117</v>
      </c>
      <c r="C122" s="0" t="n">
        <v>1</v>
      </c>
      <c r="D122" s="0" t="n">
        <v>27</v>
      </c>
      <c r="E122" s="0" t="n">
        <v>1</v>
      </c>
      <c r="F122" s="0" t="n">
        <v>102</v>
      </c>
      <c r="G122" s="0" t="n">
        <v>0.00242065626681011</v>
      </c>
      <c r="H122" s="0" t="n">
        <v>0.288600073461784</v>
      </c>
      <c r="I122" s="0" t="n">
        <v>0.365877969973588</v>
      </c>
      <c r="J122" s="0" t="n">
        <v>2</v>
      </c>
      <c r="K122" s="0" t="n">
        <v>15</v>
      </c>
      <c r="L122" s="0" t="n">
        <v>0.00126230749810653</v>
      </c>
      <c r="M122" s="0" t="n">
        <v>9606</v>
      </c>
      <c r="N122" s="0" t="s">
        <v>709</v>
      </c>
      <c r="O122" s="0" t="s">
        <v>547</v>
      </c>
      <c r="P122" s="0" t="s">
        <v>547</v>
      </c>
      <c r="Q122" s="0" t="s">
        <v>547</v>
      </c>
      <c r="R122" s="0" t="s">
        <v>1118</v>
      </c>
      <c r="S122" s="0" t="s">
        <v>1119</v>
      </c>
    </row>
    <row r="123" customFormat="false" ht="15" hidden="false" customHeight="false" outlineLevel="0" collapsed="false">
      <c r="A123" s="0" t="s">
        <v>1120</v>
      </c>
      <c r="B123" s="0" t="s">
        <v>1121</v>
      </c>
      <c r="C123" s="0" t="n">
        <v>0</v>
      </c>
      <c r="D123" s="0" t="n">
        <v>5</v>
      </c>
      <c r="E123" s="0" t="n">
        <v>1</v>
      </c>
      <c r="F123" s="0" t="n">
        <v>121</v>
      </c>
      <c r="G123" s="46" t="n">
        <v>0.000448269679038909</v>
      </c>
      <c r="H123" s="0" t="n">
        <v>0.294554059449056</v>
      </c>
      <c r="I123" s="0" t="n">
        <v>0.365877969973588</v>
      </c>
      <c r="J123" s="0" t="n">
        <v>1</v>
      </c>
      <c r="K123" s="0" t="n">
        <v>4</v>
      </c>
      <c r="L123" s="46" t="n">
        <v>0.00033661533282841</v>
      </c>
      <c r="M123" s="0" t="n">
        <v>9606</v>
      </c>
      <c r="N123" s="0" t="s">
        <v>709</v>
      </c>
      <c r="Q123" s="0" t="s">
        <v>547</v>
      </c>
      <c r="R123" s="0" t="s">
        <v>749</v>
      </c>
      <c r="S123" s="0" t="s">
        <v>1122</v>
      </c>
    </row>
    <row r="124" customFormat="false" ht="15" hidden="false" customHeight="false" outlineLevel="0" collapsed="false">
      <c r="A124" s="0" t="s">
        <v>1123</v>
      </c>
      <c r="B124" s="0" t="s">
        <v>1124</v>
      </c>
      <c r="C124" s="0" t="n">
        <v>1</v>
      </c>
      <c r="D124" s="0" t="n">
        <v>105</v>
      </c>
      <c r="E124" s="0" t="n">
        <v>0</v>
      </c>
      <c r="F124" s="0" t="n">
        <v>26</v>
      </c>
      <c r="G124" s="0" t="n">
        <v>0.0094136632598171</v>
      </c>
      <c r="H124" s="0" t="n">
        <v>0.296527862137185</v>
      </c>
      <c r="I124" s="0" t="n">
        <v>0.365877969973588</v>
      </c>
      <c r="J124" s="0" t="n">
        <v>1</v>
      </c>
      <c r="K124" s="0" t="n">
        <v>14</v>
      </c>
      <c r="L124" s="0" t="n">
        <v>0.00117815366489943</v>
      </c>
      <c r="M124" s="0" t="n">
        <v>9606</v>
      </c>
      <c r="N124" s="0" t="s">
        <v>709</v>
      </c>
      <c r="O124" s="0" t="s">
        <v>335</v>
      </c>
      <c r="P124" s="0" t="s">
        <v>335</v>
      </c>
      <c r="S124" s="0" t="s">
        <v>1125</v>
      </c>
    </row>
    <row r="125" customFormat="false" ht="15" hidden="false" customHeight="false" outlineLevel="0" collapsed="false">
      <c r="A125" s="0" t="s">
        <v>1126</v>
      </c>
      <c r="B125" s="0" t="s">
        <v>1127</v>
      </c>
      <c r="C125" s="0" t="n">
        <v>0</v>
      </c>
      <c r="D125" s="0" t="n">
        <v>34</v>
      </c>
      <c r="E125" s="0" t="n">
        <v>1</v>
      </c>
      <c r="F125" s="0" t="n">
        <v>93</v>
      </c>
      <c r="G125" s="0" t="n">
        <v>0.00304823381746458</v>
      </c>
      <c r="H125" s="0" t="n">
        <v>0.298496259403772</v>
      </c>
      <c r="I125" s="0" t="n">
        <v>0.365877969973588</v>
      </c>
      <c r="J125" s="0" t="n">
        <v>1</v>
      </c>
      <c r="K125" s="0" t="n">
        <v>36</v>
      </c>
      <c r="L125" s="0" t="n">
        <v>0.00302953799545569</v>
      </c>
      <c r="M125" s="0" t="n">
        <v>9606</v>
      </c>
      <c r="N125" s="0" t="s">
        <v>709</v>
      </c>
      <c r="Q125" s="0" t="s">
        <v>558</v>
      </c>
      <c r="R125" s="0" t="s">
        <v>929</v>
      </c>
      <c r="S125" s="0" t="s">
        <v>1128</v>
      </c>
    </row>
    <row r="126" customFormat="false" ht="15" hidden="false" customHeight="false" outlineLevel="0" collapsed="false">
      <c r="A126" s="0" t="s">
        <v>1129</v>
      </c>
      <c r="B126" s="0" t="s">
        <v>1130</v>
      </c>
      <c r="C126" s="0" t="n">
        <v>1</v>
      </c>
      <c r="D126" s="0" t="n">
        <v>95</v>
      </c>
      <c r="E126" s="0" t="n">
        <v>0</v>
      </c>
      <c r="F126" s="0" t="n">
        <v>41</v>
      </c>
      <c r="G126" s="0" t="n">
        <v>0.00851712390173928</v>
      </c>
      <c r="H126" s="0" t="n">
        <v>0.308257669966312</v>
      </c>
      <c r="I126" s="0" t="n">
        <v>0.365877969973588</v>
      </c>
      <c r="J126" s="0" t="n">
        <v>1</v>
      </c>
      <c r="K126" s="0" t="n">
        <v>58</v>
      </c>
      <c r="L126" s="0" t="n">
        <v>0.00488092232601194</v>
      </c>
      <c r="M126" s="0" t="n">
        <v>9606</v>
      </c>
      <c r="N126" s="0" t="s">
        <v>709</v>
      </c>
      <c r="O126" s="0" t="s">
        <v>579</v>
      </c>
      <c r="P126" s="0" t="s">
        <v>579</v>
      </c>
      <c r="S126" s="0" t="s">
        <v>1131</v>
      </c>
    </row>
    <row r="127" customFormat="false" ht="15" hidden="false" customHeight="false" outlineLevel="0" collapsed="false">
      <c r="A127" s="0" t="s">
        <v>1132</v>
      </c>
      <c r="B127" s="0" t="s">
        <v>1133</v>
      </c>
      <c r="C127" s="0" t="n">
        <v>0</v>
      </c>
      <c r="D127" s="0" t="n">
        <v>27</v>
      </c>
      <c r="E127" s="0" t="n">
        <v>1</v>
      </c>
      <c r="F127" s="0" t="n">
        <v>113</v>
      </c>
      <c r="G127" s="0" t="n">
        <v>0.00242065626681011</v>
      </c>
      <c r="H127" s="0" t="n">
        <v>0.315970967928617</v>
      </c>
      <c r="I127" s="0" t="n">
        <v>0.365877969973588</v>
      </c>
      <c r="J127" s="0" t="n">
        <v>1</v>
      </c>
      <c r="K127" s="0" t="n">
        <v>20</v>
      </c>
      <c r="L127" s="0" t="n">
        <v>0.00168307666414205</v>
      </c>
      <c r="M127" s="0" t="n">
        <v>9606</v>
      </c>
      <c r="N127" s="0" t="s">
        <v>709</v>
      </c>
      <c r="Q127" s="0" t="s">
        <v>297</v>
      </c>
      <c r="R127" s="0" t="s">
        <v>750</v>
      </c>
      <c r="S127" s="0" t="s">
        <v>1134</v>
      </c>
    </row>
    <row r="128" customFormat="false" ht="15" hidden="false" customHeight="false" outlineLevel="0" collapsed="false">
      <c r="A128" s="0" t="s">
        <v>1135</v>
      </c>
      <c r="B128" s="0" t="s">
        <v>1136</v>
      </c>
      <c r="C128" s="0" t="n">
        <v>0</v>
      </c>
      <c r="D128" s="0" t="n">
        <v>23</v>
      </c>
      <c r="E128" s="0" t="n">
        <v>1</v>
      </c>
      <c r="F128" s="0" t="n">
        <v>123</v>
      </c>
      <c r="G128" s="0" t="n">
        <v>0.00206204052357898</v>
      </c>
      <c r="H128" s="0" t="n">
        <v>0.319795986433833</v>
      </c>
      <c r="I128" s="0" t="n">
        <v>0.365877969973588</v>
      </c>
      <c r="J128" s="0" t="n">
        <v>1</v>
      </c>
      <c r="K128" s="0" t="n">
        <v>13</v>
      </c>
      <c r="L128" s="0" t="n">
        <v>0.00109399983169233</v>
      </c>
      <c r="M128" s="0" t="n">
        <v>9606</v>
      </c>
      <c r="N128" s="0" t="s">
        <v>709</v>
      </c>
      <c r="Q128" s="0" t="s">
        <v>547</v>
      </c>
      <c r="R128" s="0" t="s">
        <v>749</v>
      </c>
      <c r="S128" s="0" t="s">
        <v>1137</v>
      </c>
    </row>
    <row r="129" customFormat="false" ht="15" hidden="false" customHeight="false" outlineLevel="0" collapsed="false">
      <c r="A129" s="0" t="s">
        <v>1138</v>
      </c>
      <c r="B129" s="0" t="s">
        <v>1139</v>
      </c>
      <c r="C129" s="0" t="n">
        <v>1</v>
      </c>
      <c r="D129" s="0" t="n">
        <v>103</v>
      </c>
      <c r="E129" s="0" t="n">
        <v>0</v>
      </c>
      <c r="F129" s="0" t="n">
        <v>41</v>
      </c>
      <c r="G129" s="0" t="n">
        <v>0.00923435538820154</v>
      </c>
      <c r="H129" s="0" t="n">
        <v>0.321700637475193</v>
      </c>
      <c r="I129" s="0" t="n">
        <v>0.365877969973588</v>
      </c>
      <c r="J129" s="0" t="n">
        <v>1</v>
      </c>
      <c r="K129" s="0" t="n">
        <v>28</v>
      </c>
      <c r="L129" s="0" t="n">
        <v>0.00235630732979887</v>
      </c>
      <c r="M129" s="0" t="n">
        <v>9606</v>
      </c>
      <c r="N129" s="0" t="s">
        <v>709</v>
      </c>
      <c r="O129" s="0" t="s">
        <v>566</v>
      </c>
      <c r="P129" s="0" t="s">
        <v>566</v>
      </c>
      <c r="S129" s="0" t="s">
        <v>971</v>
      </c>
    </row>
    <row r="130" customFormat="false" ht="15" hidden="false" customHeight="false" outlineLevel="0" collapsed="false">
      <c r="A130" s="0" t="s">
        <v>1140</v>
      </c>
      <c r="B130" s="0" t="s">
        <v>1141</v>
      </c>
      <c r="C130" s="0" t="n">
        <v>2</v>
      </c>
      <c r="D130" s="0" t="n">
        <v>301</v>
      </c>
      <c r="E130" s="0" t="n">
        <v>2</v>
      </c>
      <c r="F130" s="0" t="n">
        <v>463</v>
      </c>
      <c r="G130" s="0" t="n">
        <v>0.0269858346781423</v>
      </c>
      <c r="H130" s="0" t="n">
        <v>0.327013054039082</v>
      </c>
      <c r="I130" s="0" t="n">
        <v>0.365877969973588</v>
      </c>
      <c r="J130" s="0" t="n">
        <v>30</v>
      </c>
      <c r="K130" s="0" t="n">
        <v>318</v>
      </c>
      <c r="L130" s="0" t="n">
        <v>0.0267609189598586</v>
      </c>
      <c r="M130" s="0" t="n">
        <v>9606</v>
      </c>
      <c r="N130" s="0" t="s">
        <v>709</v>
      </c>
      <c r="O130" s="0" t="s">
        <v>974</v>
      </c>
      <c r="P130" s="0" t="s">
        <v>974</v>
      </c>
      <c r="Q130" s="0" t="s">
        <v>547</v>
      </c>
      <c r="R130" s="0" t="s">
        <v>297</v>
      </c>
      <c r="S130" s="0" t="s">
        <v>547</v>
      </c>
      <c r="T130" s="0" t="s">
        <v>1118</v>
      </c>
      <c r="U130" s="0" t="s">
        <v>750</v>
      </c>
      <c r="V130" s="0" t="s">
        <v>911</v>
      </c>
      <c r="W130" s="0" t="s">
        <v>1142</v>
      </c>
    </row>
    <row r="131" customFormat="false" ht="15" hidden="false" customHeight="false" outlineLevel="0" collapsed="false">
      <c r="A131" s="0" t="s">
        <v>1143</v>
      </c>
      <c r="B131" s="0" t="s">
        <v>1144</v>
      </c>
      <c r="C131" s="0" t="n">
        <v>1</v>
      </c>
      <c r="D131" s="0" t="n">
        <v>33</v>
      </c>
      <c r="E131" s="0" t="n">
        <v>0</v>
      </c>
      <c r="F131" s="0" t="n">
        <v>114</v>
      </c>
      <c r="G131" s="0" t="n">
        <v>0.0029585798816568</v>
      </c>
      <c r="H131" s="0" t="n">
        <v>0.329267180581286</v>
      </c>
      <c r="I131" s="0" t="n">
        <v>0.365877969973588</v>
      </c>
      <c r="J131" s="0" t="n">
        <v>2</v>
      </c>
      <c r="K131" s="0" t="n">
        <v>12</v>
      </c>
      <c r="L131" s="0" t="n">
        <v>0.00100984599848523</v>
      </c>
      <c r="M131" s="0" t="n">
        <v>9606</v>
      </c>
      <c r="N131" s="0" t="s">
        <v>709</v>
      </c>
      <c r="O131" s="0" t="s">
        <v>564</v>
      </c>
      <c r="P131" s="0" t="s">
        <v>564</v>
      </c>
      <c r="S131" s="0" t="s">
        <v>1145</v>
      </c>
    </row>
    <row r="132" customFormat="false" ht="15" hidden="false" customHeight="false" outlineLevel="0" collapsed="false">
      <c r="A132" s="0" t="s">
        <v>1146</v>
      </c>
      <c r="B132" s="0" t="s">
        <v>1147</v>
      </c>
      <c r="C132" s="0" t="n">
        <v>0</v>
      </c>
      <c r="D132" s="0" t="n">
        <v>16</v>
      </c>
      <c r="E132" s="0" t="n">
        <v>1</v>
      </c>
      <c r="F132" s="0" t="n">
        <v>137</v>
      </c>
      <c r="G132" s="0" t="n">
        <v>0.00143446297292451</v>
      </c>
      <c r="H132" s="0" t="n">
        <v>0.334887813651148</v>
      </c>
      <c r="I132" s="0" t="n">
        <v>0.365877969973588</v>
      </c>
      <c r="J132" s="0" t="n">
        <v>1</v>
      </c>
      <c r="K132" s="0" t="n">
        <v>9</v>
      </c>
      <c r="L132" s="46" t="n">
        <v>0.000757384498863923</v>
      </c>
      <c r="M132" s="0" t="n">
        <v>9606</v>
      </c>
      <c r="N132" s="0" t="s">
        <v>709</v>
      </c>
      <c r="Q132" s="0" t="s">
        <v>547</v>
      </c>
      <c r="R132" s="0" t="s">
        <v>924</v>
      </c>
      <c r="S132" s="0" t="s">
        <v>925</v>
      </c>
    </row>
    <row r="133" customFormat="false" ht="15" hidden="false" customHeight="false" outlineLevel="0" collapsed="false">
      <c r="A133" s="0" t="s">
        <v>1148</v>
      </c>
      <c r="B133" s="0" t="s">
        <v>1149</v>
      </c>
      <c r="C133" s="0" t="n">
        <v>0</v>
      </c>
      <c r="D133" s="0" t="n">
        <v>33</v>
      </c>
      <c r="E133" s="0" t="n">
        <v>1</v>
      </c>
      <c r="F133" s="0" t="n">
        <v>119</v>
      </c>
      <c r="G133" s="0" t="n">
        <v>0.0029585798816568</v>
      </c>
      <c r="H133" s="0" t="n">
        <v>0.338609264962128</v>
      </c>
      <c r="I133" s="0" t="n">
        <v>0.365877969973588</v>
      </c>
      <c r="J133" s="0" t="n">
        <v>1</v>
      </c>
      <c r="K133" s="0" t="n">
        <v>19</v>
      </c>
      <c r="L133" s="0" t="n">
        <v>0.00159892283093494</v>
      </c>
      <c r="M133" s="0" t="n">
        <v>9606</v>
      </c>
      <c r="N133" s="0" t="s">
        <v>709</v>
      </c>
      <c r="Q133" s="0" t="s">
        <v>547</v>
      </c>
      <c r="R133" s="0" t="s">
        <v>749</v>
      </c>
      <c r="S133" s="0" t="s">
        <v>1018</v>
      </c>
    </row>
    <row r="134" customFormat="false" ht="15" hidden="false" customHeight="false" outlineLevel="0" collapsed="false">
      <c r="A134" s="0" t="s">
        <v>1150</v>
      </c>
      <c r="B134" s="0" t="s">
        <v>1151</v>
      </c>
      <c r="C134" s="0" t="n">
        <v>0</v>
      </c>
      <c r="D134" s="0" t="n">
        <v>97</v>
      </c>
      <c r="E134" s="0" t="n">
        <v>2</v>
      </c>
      <c r="F134" s="0" t="n">
        <v>368</v>
      </c>
      <c r="G134" s="0" t="n">
        <v>0.00869643177335485</v>
      </c>
      <c r="H134" s="0" t="n">
        <v>0.33983665079586</v>
      </c>
      <c r="I134" s="0" t="n">
        <v>0.365877969973588</v>
      </c>
      <c r="J134" s="0" t="n">
        <v>2</v>
      </c>
      <c r="K134" s="0" t="n">
        <v>77</v>
      </c>
      <c r="L134" s="0" t="n">
        <v>0.00647984515694689</v>
      </c>
      <c r="M134" s="0" t="n">
        <v>9606</v>
      </c>
      <c r="N134" s="0" t="s">
        <v>709</v>
      </c>
      <c r="Q134" s="0" t="s">
        <v>547</v>
      </c>
      <c r="R134" s="0" t="s">
        <v>547</v>
      </c>
      <c r="S134" s="0" t="s">
        <v>1049</v>
      </c>
      <c r="T134" s="0" t="s">
        <v>749</v>
      </c>
      <c r="U134" s="0" t="s">
        <v>1152</v>
      </c>
    </row>
    <row r="135" customFormat="false" ht="15" hidden="false" customHeight="false" outlineLevel="0" collapsed="false">
      <c r="A135" s="0" t="s">
        <v>1153</v>
      </c>
      <c r="B135" s="0" t="s">
        <v>1154</v>
      </c>
      <c r="C135" s="0" t="n">
        <v>0</v>
      </c>
      <c r="D135" s="0" t="n">
        <v>36</v>
      </c>
      <c r="E135" s="0" t="n">
        <v>1</v>
      </c>
      <c r="F135" s="0" t="n">
        <v>116</v>
      </c>
      <c r="G135" s="0" t="n">
        <v>0.00322754168908015</v>
      </c>
      <c r="H135" s="0" t="n">
        <v>0.342310334522627</v>
      </c>
      <c r="I135" s="0" t="n">
        <v>0.365877969973588</v>
      </c>
      <c r="J135" s="0" t="n">
        <v>2</v>
      </c>
      <c r="K135" s="0" t="n">
        <v>26</v>
      </c>
      <c r="L135" s="0" t="n">
        <v>0.00218799966338466</v>
      </c>
      <c r="M135" s="0" t="n">
        <v>9606</v>
      </c>
      <c r="N135" s="0" t="s">
        <v>709</v>
      </c>
      <c r="Q135" s="0" t="s">
        <v>547</v>
      </c>
      <c r="R135" s="0" t="s">
        <v>815</v>
      </c>
      <c r="S135" s="0" t="s">
        <v>1045</v>
      </c>
    </row>
    <row r="136" customFormat="false" ht="15" hidden="false" customHeight="false" outlineLevel="0" collapsed="false">
      <c r="A136" s="0" t="s">
        <v>1155</v>
      </c>
      <c r="B136" s="0" t="s">
        <v>1156</v>
      </c>
      <c r="C136" s="0" t="n">
        <v>0</v>
      </c>
      <c r="D136" s="0" t="n">
        <v>40</v>
      </c>
      <c r="E136" s="0" t="n">
        <v>1</v>
      </c>
      <c r="F136" s="0" t="n">
        <v>111</v>
      </c>
      <c r="G136" s="0" t="n">
        <v>0.00358615743231127</v>
      </c>
      <c r="H136" s="0" t="n">
        <v>0.342310334522627</v>
      </c>
      <c r="I136" s="0" t="n">
        <v>0.365877969973588</v>
      </c>
      <c r="J136" s="0" t="n">
        <v>2</v>
      </c>
      <c r="K136" s="0" t="n">
        <v>27</v>
      </c>
      <c r="L136" s="0" t="n">
        <v>0.00227215349659176</v>
      </c>
      <c r="M136" s="0" t="n">
        <v>9606</v>
      </c>
      <c r="N136" s="0" t="s">
        <v>709</v>
      </c>
      <c r="Q136" s="0" t="s">
        <v>547</v>
      </c>
      <c r="R136" s="0" t="s">
        <v>815</v>
      </c>
      <c r="S136" s="0" t="s">
        <v>1045</v>
      </c>
    </row>
    <row r="137" customFormat="false" ht="15" hidden="false" customHeight="false" outlineLevel="0" collapsed="false">
      <c r="A137" s="0" t="s">
        <v>1157</v>
      </c>
      <c r="B137" s="0" t="s">
        <v>1158</v>
      </c>
      <c r="C137" s="0" t="n">
        <v>0</v>
      </c>
      <c r="D137" s="0" t="n">
        <v>93</v>
      </c>
      <c r="E137" s="0" t="n">
        <v>1</v>
      </c>
      <c r="F137" s="0" t="n">
        <v>74</v>
      </c>
      <c r="G137" s="0" t="n">
        <v>0.00833781603012372</v>
      </c>
      <c r="H137" s="0" t="n">
        <v>0.35147455357267</v>
      </c>
      <c r="I137" s="0" t="n">
        <v>0.365877969973588</v>
      </c>
      <c r="J137" s="0" t="n">
        <v>2</v>
      </c>
      <c r="K137" s="0" t="n">
        <v>16</v>
      </c>
      <c r="L137" s="0" t="n">
        <v>0.00134646133131364</v>
      </c>
      <c r="M137" s="0" t="n">
        <v>9606</v>
      </c>
      <c r="N137" s="0" t="s">
        <v>709</v>
      </c>
      <c r="Q137" s="0" t="s">
        <v>579</v>
      </c>
      <c r="R137" s="0" t="s">
        <v>807</v>
      </c>
      <c r="S137" s="0" t="s">
        <v>1159</v>
      </c>
    </row>
    <row r="138" customFormat="false" ht="15" hidden="false" customHeight="false" outlineLevel="0" collapsed="false">
      <c r="A138" s="0" t="s">
        <v>1160</v>
      </c>
      <c r="B138" s="0" t="s">
        <v>1161</v>
      </c>
      <c r="C138" s="0" t="n">
        <v>0</v>
      </c>
      <c r="D138" s="0" t="n">
        <v>106</v>
      </c>
      <c r="E138" s="0" t="n">
        <v>2</v>
      </c>
      <c r="F138" s="0" t="n">
        <v>388</v>
      </c>
      <c r="G138" s="0" t="n">
        <v>0.00950331719562488</v>
      </c>
      <c r="H138" s="0" t="n">
        <v>0.361139601280652</v>
      </c>
      <c r="I138" s="0" t="n">
        <v>0.365877969973588</v>
      </c>
      <c r="J138" s="0" t="n">
        <v>2</v>
      </c>
      <c r="K138" s="0" t="n">
        <v>83</v>
      </c>
      <c r="L138" s="0" t="n">
        <v>0.00698476815618951</v>
      </c>
      <c r="M138" s="0" t="n">
        <v>9606</v>
      </c>
      <c r="N138" s="0" t="s">
        <v>709</v>
      </c>
      <c r="Q138" s="0" t="s">
        <v>547</v>
      </c>
      <c r="R138" s="0" t="s">
        <v>547</v>
      </c>
      <c r="S138" s="0" t="s">
        <v>1049</v>
      </c>
      <c r="T138" s="0" t="s">
        <v>749</v>
      </c>
      <c r="U138" s="0" t="s">
        <v>1152</v>
      </c>
    </row>
    <row r="139" customFormat="false" ht="15" hidden="false" customHeight="false" outlineLevel="0" collapsed="false">
      <c r="A139" s="0" t="s">
        <v>1162</v>
      </c>
      <c r="B139" s="0" t="s">
        <v>1163</v>
      </c>
      <c r="C139" s="0" t="n">
        <v>0</v>
      </c>
      <c r="D139" s="0" t="n">
        <v>31</v>
      </c>
      <c r="E139" s="0" t="n">
        <v>1</v>
      </c>
      <c r="F139" s="0" t="n">
        <v>143</v>
      </c>
      <c r="G139" s="0" t="n">
        <v>0.00277927201004124</v>
      </c>
      <c r="H139" s="0" t="n">
        <v>0.365877969973588</v>
      </c>
      <c r="I139" s="0" t="n">
        <v>0.365877969973588</v>
      </c>
      <c r="J139" s="0" t="n">
        <v>2</v>
      </c>
      <c r="K139" s="0" t="n">
        <v>16</v>
      </c>
      <c r="L139" s="0" t="n">
        <v>0.00134646133131364</v>
      </c>
      <c r="M139" s="0" t="n">
        <v>9606</v>
      </c>
      <c r="N139" s="0" t="s">
        <v>709</v>
      </c>
      <c r="Q139" s="0" t="s">
        <v>579</v>
      </c>
      <c r="R139" s="0" t="s">
        <v>742</v>
      </c>
      <c r="S139" s="0" t="s">
        <v>1108</v>
      </c>
    </row>
    <row r="140" customFormat="false" ht="15" hidden="false" customHeight="false" outlineLevel="0" collapsed="false">
      <c r="A140" s="0" t="s">
        <v>1164</v>
      </c>
      <c r="B140" s="0" t="s">
        <v>1165</v>
      </c>
      <c r="C140" s="0" t="n">
        <v>0</v>
      </c>
      <c r="D140" s="0" t="n">
        <v>52</v>
      </c>
      <c r="E140" s="0" t="n">
        <v>1</v>
      </c>
      <c r="F140" s="0" t="n">
        <v>116</v>
      </c>
      <c r="G140" s="0" t="n">
        <v>0.00466200466200466</v>
      </c>
      <c r="H140" s="0" t="n">
        <v>0.371198134188571</v>
      </c>
      <c r="I140" s="0" t="n">
        <v>0.371198134188571</v>
      </c>
      <c r="J140" s="0" t="n">
        <v>2</v>
      </c>
      <c r="K140" s="0" t="n">
        <v>31</v>
      </c>
      <c r="L140" s="0" t="n">
        <v>0.00260876882942018</v>
      </c>
      <c r="M140" s="0" t="n">
        <v>9606</v>
      </c>
      <c r="N140" s="0" t="s">
        <v>709</v>
      </c>
      <c r="Q140" s="0" t="s">
        <v>547</v>
      </c>
      <c r="R140" s="0" t="s">
        <v>815</v>
      </c>
      <c r="S140" s="0" t="s">
        <v>1045</v>
      </c>
    </row>
    <row r="141" customFormat="false" ht="15" hidden="false" customHeight="false" outlineLevel="0" collapsed="false">
      <c r="A141" s="0" t="s">
        <v>1166</v>
      </c>
      <c r="B141" s="0" t="s">
        <v>1167</v>
      </c>
      <c r="C141" s="0" t="n">
        <v>0</v>
      </c>
      <c r="D141" s="0" t="n">
        <v>53</v>
      </c>
      <c r="E141" s="0" t="n">
        <v>1</v>
      </c>
      <c r="F141" s="0" t="n">
        <v>116</v>
      </c>
      <c r="G141" s="0" t="n">
        <v>0.00475165859781244</v>
      </c>
      <c r="H141" s="0" t="n">
        <v>0.372961795243658</v>
      </c>
      <c r="I141" s="0" t="n">
        <v>0.372961795243658</v>
      </c>
      <c r="J141" s="0" t="n">
        <v>2</v>
      </c>
      <c r="K141" s="0" t="n">
        <v>40</v>
      </c>
      <c r="L141" s="0" t="n">
        <v>0.0033661533282841</v>
      </c>
      <c r="M141" s="0" t="n">
        <v>9606</v>
      </c>
      <c r="N141" s="0" t="s">
        <v>709</v>
      </c>
      <c r="Q141" s="0" t="s">
        <v>547</v>
      </c>
      <c r="R141" s="0" t="s">
        <v>815</v>
      </c>
      <c r="S141" s="0" t="s">
        <v>1045</v>
      </c>
    </row>
    <row r="142" customFormat="false" ht="15" hidden="false" customHeight="false" outlineLevel="0" collapsed="false">
      <c r="A142" s="0" t="s">
        <v>1168</v>
      </c>
      <c r="B142" s="0" t="s">
        <v>1169</v>
      </c>
      <c r="C142" s="0" t="n">
        <v>0</v>
      </c>
      <c r="D142" s="0" t="n">
        <v>16</v>
      </c>
      <c r="E142" s="0" t="n">
        <v>1</v>
      </c>
      <c r="F142" s="0" t="n">
        <v>162</v>
      </c>
      <c r="G142" s="0" t="n">
        <v>0.00143446297292451</v>
      </c>
      <c r="H142" s="0" t="n">
        <v>0.378223779892295</v>
      </c>
      <c r="I142" s="0" t="n">
        <v>0.378223779892295</v>
      </c>
      <c r="J142" s="0" t="n">
        <v>1</v>
      </c>
      <c r="K142" s="0" t="n">
        <v>18</v>
      </c>
      <c r="L142" s="0" t="n">
        <v>0.00151476899772784</v>
      </c>
      <c r="M142" s="0" t="n">
        <v>9606</v>
      </c>
      <c r="N142" s="0" t="s">
        <v>709</v>
      </c>
      <c r="Q142" s="0" t="s">
        <v>558</v>
      </c>
      <c r="R142" s="0" t="s">
        <v>744</v>
      </c>
      <c r="S142" s="0" t="s">
        <v>1170</v>
      </c>
    </row>
    <row r="143" customFormat="false" ht="15" hidden="false" customHeight="false" outlineLevel="0" collapsed="false">
      <c r="A143" s="0" t="s">
        <v>1171</v>
      </c>
      <c r="B143" s="0" t="s">
        <v>1172</v>
      </c>
      <c r="C143" s="0" t="n">
        <v>1</v>
      </c>
      <c r="D143" s="0" t="n">
        <v>59</v>
      </c>
      <c r="E143" s="0" t="n">
        <v>1</v>
      </c>
      <c r="F143" s="0" t="n">
        <v>119</v>
      </c>
      <c r="G143" s="0" t="n">
        <v>0.00528958221265913</v>
      </c>
      <c r="H143" s="0" t="n">
        <v>0.379968151835202</v>
      </c>
      <c r="I143" s="0" t="n">
        <v>0.379968151835202</v>
      </c>
      <c r="J143" s="0" t="n">
        <v>3</v>
      </c>
      <c r="K143" s="0" t="n">
        <v>22</v>
      </c>
      <c r="L143" s="0" t="n">
        <v>0.00185138433055625</v>
      </c>
      <c r="M143" s="0" t="n">
        <v>9606</v>
      </c>
      <c r="N143" s="0" t="s">
        <v>709</v>
      </c>
      <c r="O143" s="0" t="s">
        <v>547</v>
      </c>
      <c r="P143" s="0" t="s">
        <v>547</v>
      </c>
      <c r="Q143" s="0" t="s">
        <v>547</v>
      </c>
      <c r="R143" s="0" t="s">
        <v>1118</v>
      </c>
      <c r="S143" s="0" t="s">
        <v>1173</v>
      </c>
    </row>
    <row r="144" customFormat="false" ht="15" hidden="false" customHeight="false" outlineLevel="0" collapsed="false">
      <c r="A144" s="0" t="s">
        <v>1174</v>
      </c>
      <c r="B144" s="0" t="s">
        <v>1175</v>
      </c>
      <c r="C144" s="0" t="n">
        <v>0</v>
      </c>
      <c r="D144" s="0" t="n">
        <v>68</v>
      </c>
      <c r="E144" s="0" t="n">
        <v>2</v>
      </c>
      <c r="F144" s="0" t="n">
        <v>429</v>
      </c>
      <c r="G144" s="0" t="n">
        <v>0.00609646763492917</v>
      </c>
      <c r="H144" s="0" t="n">
        <v>0.382205569637291</v>
      </c>
      <c r="I144" s="0" t="n">
        <v>0.382205569637291</v>
      </c>
      <c r="J144" s="0" t="n">
        <v>8</v>
      </c>
      <c r="K144" s="0" t="n">
        <v>59</v>
      </c>
      <c r="L144" s="0" t="n">
        <v>0.00496507615921905</v>
      </c>
      <c r="M144" s="0" t="n">
        <v>9606</v>
      </c>
      <c r="N144" s="0" t="s">
        <v>709</v>
      </c>
      <c r="Q144" s="0" t="s">
        <v>297</v>
      </c>
      <c r="R144" s="0" t="s">
        <v>372</v>
      </c>
      <c r="S144" s="0" t="s">
        <v>990</v>
      </c>
      <c r="T144" s="0" t="s">
        <v>750</v>
      </c>
      <c r="U144" s="0" t="s">
        <v>1176</v>
      </c>
    </row>
    <row r="145" customFormat="false" ht="15" hidden="false" customHeight="false" outlineLevel="0" collapsed="false">
      <c r="A145" s="0" t="s">
        <v>1177</v>
      </c>
      <c r="B145" s="0" t="s">
        <v>1178</v>
      </c>
      <c r="C145" s="0" t="n">
        <v>0</v>
      </c>
      <c r="D145" s="0" t="n">
        <v>18</v>
      </c>
      <c r="E145" s="0" t="n">
        <v>1</v>
      </c>
      <c r="F145" s="0" t="n">
        <v>163</v>
      </c>
      <c r="G145" s="0" t="n">
        <v>0.00161377084454007</v>
      </c>
      <c r="H145" s="0" t="n">
        <v>0.383442538771786</v>
      </c>
      <c r="I145" s="0" t="n">
        <v>0.383442538771786</v>
      </c>
      <c r="J145" s="0" t="n">
        <v>2</v>
      </c>
      <c r="K145" s="0" t="n">
        <v>10</v>
      </c>
      <c r="L145" s="46" t="n">
        <v>0.000841538332071025</v>
      </c>
      <c r="M145" s="0" t="n">
        <v>9606</v>
      </c>
      <c r="N145" s="0" t="s">
        <v>709</v>
      </c>
      <c r="Q145" s="0" t="s">
        <v>547</v>
      </c>
      <c r="R145" s="0" t="s">
        <v>1048</v>
      </c>
      <c r="S145" s="0" t="s">
        <v>1049</v>
      </c>
      <c r="T145" s="0" t="s">
        <v>1050</v>
      </c>
    </row>
    <row r="146" customFormat="false" ht="15" hidden="false" customHeight="false" outlineLevel="0" collapsed="false">
      <c r="A146" s="0" t="s">
        <v>1179</v>
      </c>
      <c r="B146" s="0" t="s">
        <v>1180</v>
      </c>
      <c r="C146" s="0" t="n">
        <v>1</v>
      </c>
      <c r="D146" s="0" t="n">
        <v>88</v>
      </c>
      <c r="E146" s="0" t="n">
        <v>0</v>
      </c>
      <c r="F146" s="0" t="n">
        <v>89</v>
      </c>
      <c r="G146" s="0" t="n">
        <v>0.00788954635108481</v>
      </c>
      <c r="H146" s="0" t="n">
        <v>0.383442538771786</v>
      </c>
      <c r="I146" s="0" t="n">
        <v>0.383442538771786</v>
      </c>
      <c r="J146" s="0" t="n">
        <v>4</v>
      </c>
      <c r="K146" s="0" t="n">
        <v>30</v>
      </c>
      <c r="L146" s="0" t="n">
        <v>0.00252461499621307</v>
      </c>
      <c r="M146" s="0" t="n">
        <v>9606</v>
      </c>
      <c r="N146" s="0" t="s">
        <v>709</v>
      </c>
      <c r="O146" s="0" t="s">
        <v>335</v>
      </c>
      <c r="P146" s="0" t="s">
        <v>335</v>
      </c>
      <c r="S146" s="0" t="s">
        <v>1082</v>
      </c>
    </row>
    <row r="147" customFormat="false" ht="15" hidden="false" customHeight="false" outlineLevel="0" collapsed="false">
      <c r="A147" s="0" t="s">
        <v>1181</v>
      </c>
      <c r="B147" s="0" t="s">
        <v>1182</v>
      </c>
      <c r="C147" s="0" t="n">
        <v>1</v>
      </c>
      <c r="D147" s="0" t="n">
        <v>145</v>
      </c>
      <c r="E147" s="0" t="n">
        <v>0</v>
      </c>
      <c r="F147" s="0" t="n">
        <v>37</v>
      </c>
      <c r="G147" s="0" t="n">
        <v>0.0129998206921283</v>
      </c>
      <c r="H147" s="0" t="n">
        <v>0.385172579467093</v>
      </c>
      <c r="I147" s="0" t="n">
        <v>0.385172579467093</v>
      </c>
      <c r="J147" s="0" t="n">
        <v>16</v>
      </c>
      <c r="K147" s="0" t="n">
        <v>34</v>
      </c>
      <c r="L147" s="0" t="n">
        <v>0.00286123032904148</v>
      </c>
      <c r="M147" s="0" t="n">
        <v>9606</v>
      </c>
      <c r="N147" s="0" t="s">
        <v>709</v>
      </c>
      <c r="O147" s="0" t="s">
        <v>335</v>
      </c>
      <c r="P147" s="0" t="s">
        <v>335</v>
      </c>
      <c r="S147" s="0" t="s">
        <v>1183</v>
      </c>
    </row>
    <row r="148" customFormat="false" ht="15" hidden="false" customHeight="false" outlineLevel="0" collapsed="false">
      <c r="A148" s="0" t="s">
        <v>1184</v>
      </c>
      <c r="B148" s="0" t="s">
        <v>1185</v>
      </c>
      <c r="C148" s="0" t="n">
        <v>0</v>
      </c>
      <c r="D148" s="0" t="n">
        <v>24</v>
      </c>
      <c r="E148" s="0" t="n">
        <v>1</v>
      </c>
      <c r="F148" s="0" t="n">
        <v>164</v>
      </c>
      <c r="G148" s="0" t="n">
        <v>0.00215169445938676</v>
      </c>
      <c r="H148" s="0" t="n">
        <v>0.386897868725249</v>
      </c>
      <c r="I148" s="0" t="n">
        <v>0.386897868725249</v>
      </c>
      <c r="J148" s="0" t="n">
        <v>1</v>
      </c>
      <c r="K148" s="0" t="n">
        <v>28</v>
      </c>
      <c r="L148" s="0" t="n">
        <v>0.00235630732979887</v>
      </c>
      <c r="M148" s="0" t="n">
        <v>9606</v>
      </c>
      <c r="N148" s="0" t="s">
        <v>709</v>
      </c>
      <c r="Q148" s="0" t="s">
        <v>558</v>
      </c>
      <c r="R148" s="0" t="s">
        <v>744</v>
      </c>
      <c r="S148" s="0" t="s">
        <v>1170</v>
      </c>
    </row>
    <row r="149" customFormat="false" ht="15" hidden="false" customHeight="false" outlineLevel="0" collapsed="false">
      <c r="A149" s="0" t="s">
        <v>1186</v>
      </c>
      <c r="B149" s="0" t="s">
        <v>1187</v>
      </c>
      <c r="C149" s="0" t="n">
        <v>1</v>
      </c>
      <c r="D149" s="0" t="n">
        <v>277</v>
      </c>
      <c r="E149" s="0" t="n">
        <v>1</v>
      </c>
      <c r="F149" s="0" t="n">
        <v>247</v>
      </c>
      <c r="G149" s="0" t="n">
        <v>0.0248341402187556</v>
      </c>
      <c r="H149" s="0" t="n">
        <v>0.388174949061559</v>
      </c>
      <c r="I149" s="0" t="n">
        <v>0.388174949061559</v>
      </c>
      <c r="J149" s="0" t="n">
        <v>5</v>
      </c>
      <c r="K149" s="0" t="n">
        <v>61</v>
      </c>
      <c r="L149" s="0" t="n">
        <v>0.00513338382563325</v>
      </c>
      <c r="M149" s="0" t="n">
        <v>9606</v>
      </c>
      <c r="N149" s="0" t="s">
        <v>709</v>
      </c>
      <c r="O149" s="0" t="s">
        <v>547</v>
      </c>
      <c r="P149" s="0" t="s">
        <v>547</v>
      </c>
      <c r="Q149" s="0" t="s">
        <v>547</v>
      </c>
      <c r="R149" s="0" t="s">
        <v>749</v>
      </c>
      <c r="S149" s="0" t="s">
        <v>1188</v>
      </c>
    </row>
    <row r="150" customFormat="false" ht="15" hidden="false" customHeight="false" outlineLevel="0" collapsed="false">
      <c r="A150" s="0" t="s">
        <v>1189</v>
      </c>
      <c r="B150" s="0" t="s">
        <v>1190</v>
      </c>
      <c r="C150" s="0" t="n">
        <v>0</v>
      </c>
      <c r="D150" s="0" t="n">
        <v>141</v>
      </c>
      <c r="E150" s="0" t="n">
        <v>1</v>
      </c>
      <c r="F150" s="0" t="n">
        <v>45</v>
      </c>
      <c r="G150" s="0" t="n">
        <v>0.0126412049488972</v>
      </c>
      <c r="H150" s="0" t="n">
        <v>0.393751766215171</v>
      </c>
      <c r="I150" s="0" t="n">
        <v>0.393751766215171</v>
      </c>
      <c r="J150" s="0" t="n">
        <v>1</v>
      </c>
      <c r="K150" s="0" t="n">
        <v>27</v>
      </c>
      <c r="L150" s="0" t="n">
        <v>0.00227215349659176</v>
      </c>
      <c r="M150" s="0" t="n">
        <v>9606</v>
      </c>
      <c r="N150" s="0" t="s">
        <v>709</v>
      </c>
      <c r="Q150" s="0" t="s">
        <v>547</v>
      </c>
      <c r="R150" s="0" t="s">
        <v>1048</v>
      </c>
      <c r="S150" s="0" t="s">
        <v>1191</v>
      </c>
    </row>
    <row r="151" customFormat="false" ht="15" hidden="false" customHeight="false" outlineLevel="0" collapsed="false">
      <c r="A151" s="0" t="s">
        <v>1192</v>
      </c>
      <c r="B151" s="0" t="s">
        <v>1193</v>
      </c>
      <c r="C151" s="0" t="n">
        <v>1</v>
      </c>
      <c r="D151" s="0" t="n">
        <v>68</v>
      </c>
      <c r="E151" s="0" t="n">
        <v>0</v>
      </c>
      <c r="F151" s="0" t="n">
        <v>127</v>
      </c>
      <c r="G151" s="0" t="n">
        <v>0.00609646763492917</v>
      </c>
      <c r="H151" s="0" t="n">
        <v>0.39545348911659</v>
      </c>
      <c r="I151" s="0" t="n">
        <v>0.39545348911659</v>
      </c>
      <c r="J151" s="0" t="n">
        <v>10</v>
      </c>
      <c r="K151" s="0" t="n">
        <v>16</v>
      </c>
      <c r="L151" s="0" t="n">
        <v>0.00134646133131364</v>
      </c>
      <c r="M151" s="0" t="n">
        <v>9606</v>
      </c>
      <c r="N151" s="0" t="s">
        <v>709</v>
      </c>
      <c r="O151" s="0" t="s">
        <v>564</v>
      </c>
      <c r="P151" s="0" t="s">
        <v>564</v>
      </c>
      <c r="S151" s="0" t="s">
        <v>1194</v>
      </c>
    </row>
    <row r="152" customFormat="false" ht="15" hidden="false" customHeight="false" outlineLevel="0" collapsed="false">
      <c r="A152" s="0" t="s">
        <v>1195</v>
      </c>
      <c r="B152" s="0" t="s">
        <v>1196</v>
      </c>
      <c r="C152" s="0" t="n">
        <v>0</v>
      </c>
      <c r="D152" s="0" t="n">
        <v>24</v>
      </c>
      <c r="E152" s="0" t="n">
        <v>1</v>
      </c>
      <c r="F152" s="0" t="n">
        <v>163</v>
      </c>
      <c r="G152" s="0" t="n">
        <v>0.00215169445938676</v>
      </c>
      <c r="H152" s="0" t="n">
        <v>0.39545348911659</v>
      </c>
      <c r="I152" s="0" t="n">
        <v>0.39545348911659</v>
      </c>
      <c r="J152" s="0" t="n">
        <v>1</v>
      </c>
      <c r="K152" s="0" t="n">
        <v>12</v>
      </c>
      <c r="L152" s="0" t="n">
        <v>0.00100984599848523</v>
      </c>
      <c r="M152" s="0" t="n">
        <v>9606</v>
      </c>
      <c r="N152" s="0" t="s">
        <v>709</v>
      </c>
      <c r="Q152" s="0" t="s">
        <v>579</v>
      </c>
      <c r="R152" s="0" t="s">
        <v>742</v>
      </c>
      <c r="S152" s="0" t="s">
        <v>1197</v>
      </c>
    </row>
    <row r="153" customFormat="false" ht="15" hidden="false" customHeight="false" outlineLevel="0" collapsed="false">
      <c r="A153" s="0" t="s">
        <v>1198</v>
      </c>
      <c r="B153" s="0" t="s">
        <v>1199</v>
      </c>
      <c r="C153" s="0" t="n">
        <v>0</v>
      </c>
      <c r="D153" s="0" t="n">
        <v>63</v>
      </c>
      <c r="E153" s="0" t="n">
        <v>1</v>
      </c>
      <c r="F153" s="0" t="n">
        <v>123</v>
      </c>
      <c r="G153" s="0" t="n">
        <v>0.00564819795589026</v>
      </c>
      <c r="H153" s="0" t="n">
        <v>0.397150536678874</v>
      </c>
      <c r="I153" s="0" t="n">
        <v>0.397150536678874</v>
      </c>
      <c r="J153" s="0" t="n">
        <v>1</v>
      </c>
      <c r="K153" s="0" t="n">
        <v>23</v>
      </c>
      <c r="L153" s="0" t="n">
        <v>0.00193553816376335</v>
      </c>
      <c r="M153" s="0" t="n">
        <v>9606</v>
      </c>
      <c r="N153" s="0" t="s">
        <v>709</v>
      </c>
      <c r="Q153" s="0" t="s">
        <v>547</v>
      </c>
      <c r="R153" s="0" t="s">
        <v>749</v>
      </c>
      <c r="S153" s="0" t="s">
        <v>1200</v>
      </c>
    </row>
    <row r="154" customFormat="false" ht="15" hidden="false" customHeight="false" outlineLevel="0" collapsed="false">
      <c r="A154" s="0" t="s">
        <v>1201</v>
      </c>
      <c r="B154" s="0" t="s">
        <v>1202</v>
      </c>
      <c r="C154" s="0" t="n">
        <v>1</v>
      </c>
      <c r="D154" s="0" t="n">
        <v>39</v>
      </c>
      <c r="E154" s="0" t="n">
        <v>0</v>
      </c>
      <c r="F154" s="0" t="n">
        <v>145</v>
      </c>
      <c r="G154" s="0" t="n">
        <v>0.00349650349650349</v>
      </c>
      <c r="H154" s="0" t="n">
        <v>0.39884292146863</v>
      </c>
      <c r="I154" s="0" t="n">
        <v>0.39884292146863</v>
      </c>
      <c r="J154" s="0" t="n">
        <v>1</v>
      </c>
      <c r="K154" s="0" t="n">
        <v>32</v>
      </c>
      <c r="L154" s="0" t="n">
        <v>0.00269292266262728</v>
      </c>
      <c r="M154" s="0" t="n">
        <v>9606</v>
      </c>
      <c r="N154" s="0" t="s">
        <v>709</v>
      </c>
      <c r="O154" s="0" t="s">
        <v>563</v>
      </c>
      <c r="P154" s="0" t="s">
        <v>563</v>
      </c>
      <c r="S154" s="0" t="s">
        <v>1203</v>
      </c>
    </row>
    <row r="155" customFormat="false" ht="15" hidden="false" customHeight="false" outlineLevel="0" collapsed="false">
      <c r="A155" s="0" t="s">
        <v>1204</v>
      </c>
      <c r="B155" s="0" t="s">
        <v>1205</v>
      </c>
      <c r="C155" s="0" t="n">
        <v>0</v>
      </c>
      <c r="D155" s="0" t="n">
        <v>9</v>
      </c>
      <c r="E155" s="0" t="n">
        <v>1</v>
      </c>
      <c r="F155" s="0" t="n">
        <v>194</v>
      </c>
      <c r="G155" s="46" t="n">
        <v>0.000806885422270037</v>
      </c>
      <c r="H155" s="0" t="n">
        <v>0.422053676624002</v>
      </c>
      <c r="I155" s="0" t="n">
        <v>0.422053676624002</v>
      </c>
      <c r="J155" s="0" t="n">
        <v>1</v>
      </c>
      <c r="K155" s="0" t="n">
        <v>5</v>
      </c>
      <c r="L155" s="46" t="n">
        <v>0.000420769166035512</v>
      </c>
      <c r="M155" s="0" t="n">
        <v>9606</v>
      </c>
      <c r="N155" s="0" t="s">
        <v>709</v>
      </c>
      <c r="Q155" s="0" t="s">
        <v>547</v>
      </c>
      <c r="R155" s="0" t="s">
        <v>749</v>
      </c>
      <c r="S155" s="0" t="s">
        <v>1206</v>
      </c>
    </row>
    <row r="156" customFormat="false" ht="15" hidden="false" customHeight="false" outlineLevel="0" collapsed="false">
      <c r="A156" s="0" t="s">
        <v>1207</v>
      </c>
      <c r="B156" s="0" t="s">
        <v>1208</v>
      </c>
      <c r="C156" s="0" t="n">
        <v>0</v>
      </c>
      <c r="D156" s="0" t="n">
        <v>130</v>
      </c>
      <c r="E156" s="0" t="n">
        <v>2</v>
      </c>
      <c r="F156" s="0" t="n">
        <v>428</v>
      </c>
      <c r="G156" s="0" t="n">
        <v>0.0116550116550116</v>
      </c>
      <c r="H156" s="0" t="n">
        <v>0.426362987862131</v>
      </c>
      <c r="I156" s="0" t="n">
        <v>0.426362987862131</v>
      </c>
      <c r="J156" s="0" t="n">
        <v>3</v>
      </c>
      <c r="K156" s="0" t="n">
        <v>60</v>
      </c>
      <c r="L156" s="0" t="n">
        <v>0.00504922999242615</v>
      </c>
      <c r="M156" s="0" t="n">
        <v>9606</v>
      </c>
      <c r="N156" s="0" t="s">
        <v>709</v>
      </c>
      <c r="Q156" s="0" t="s">
        <v>547</v>
      </c>
      <c r="R156" s="0" t="s">
        <v>547</v>
      </c>
      <c r="S156" s="0" t="s">
        <v>1048</v>
      </c>
      <c r="T156" s="0" t="s">
        <v>1049</v>
      </c>
      <c r="U156" s="0" t="s">
        <v>749</v>
      </c>
      <c r="V156" s="0" t="s">
        <v>1209</v>
      </c>
    </row>
    <row r="157" customFormat="false" ht="15" hidden="false" customHeight="false" outlineLevel="0" collapsed="false">
      <c r="A157" s="0" t="s">
        <v>1210</v>
      </c>
      <c r="B157" s="0" t="s">
        <v>1211</v>
      </c>
      <c r="C157" s="0" t="n">
        <v>0</v>
      </c>
      <c r="D157" s="0" t="n">
        <v>34</v>
      </c>
      <c r="E157" s="0" t="n">
        <v>1</v>
      </c>
      <c r="F157" s="0" t="n">
        <v>181</v>
      </c>
      <c r="G157" s="0" t="n">
        <v>0.00304823381746458</v>
      </c>
      <c r="H157" s="0" t="n">
        <v>0.445949090407063</v>
      </c>
      <c r="I157" s="0" t="n">
        <v>0.445949090407063</v>
      </c>
      <c r="J157" s="0" t="n">
        <v>1</v>
      </c>
      <c r="K157" s="0" t="n">
        <v>34</v>
      </c>
      <c r="L157" s="0" t="n">
        <v>0.00286123032904148</v>
      </c>
      <c r="M157" s="0" t="n">
        <v>9606</v>
      </c>
      <c r="N157" s="0" t="s">
        <v>709</v>
      </c>
      <c r="Q157" s="0" t="s">
        <v>562</v>
      </c>
      <c r="R157" s="0" t="s">
        <v>763</v>
      </c>
      <c r="S157" s="0" t="s">
        <v>1212</v>
      </c>
    </row>
    <row r="158" customFormat="false" ht="15" hidden="false" customHeight="false" outlineLevel="0" collapsed="false">
      <c r="A158" s="0" t="s">
        <v>1213</v>
      </c>
      <c r="B158" s="0" t="s">
        <v>1214</v>
      </c>
      <c r="C158" s="0" t="n">
        <v>0</v>
      </c>
      <c r="D158" s="0" t="n">
        <v>83</v>
      </c>
      <c r="E158" s="0" t="n">
        <v>1</v>
      </c>
      <c r="F158" s="0" t="n">
        <v>133</v>
      </c>
      <c r="G158" s="0" t="n">
        <v>0.0074412766720459</v>
      </c>
      <c r="H158" s="0" t="n">
        <v>0.450610787247092</v>
      </c>
      <c r="I158" s="0" t="n">
        <v>0.450610787247092</v>
      </c>
      <c r="J158" s="0" t="n">
        <v>2</v>
      </c>
      <c r="K158" s="0" t="n">
        <v>39</v>
      </c>
      <c r="L158" s="0" t="n">
        <v>0.003281999495077</v>
      </c>
      <c r="M158" s="0" t="n">
        <v>9606</v>
      </c>
      <c r="N158" s="0" t="s">
        <v>709</v>
      </c>
      <c r="Q158" s="0" t="s">
        <v>547</v>
      </c>
      <c r="R158" s="0" t="s">
        <v>815</v>
      </c>
      <c r="S158" s="0" t="s">
        <v>1045</v>
      </c>
    </row>
    <row r="159" customFormat="false" ht="15" hidden="false" customHeight="false" outlineLevel="0" collapsed="false">
      <c r="A159" s="0" t="s">
        <v>1215</v>
      </c>
      <c r="B159" s="0" t="s">
        <v>1216</v>
      </c>
      <c r="C159" s="0" t="n">
        <v>1</v>
      </c>
      <c r="D159" s="0" t="n">
        <v>59</v>
      </c>
      <c r="E159" s="0" t="n">
        <v>0</v>
      </c>
      <c r="F159" s="0" t="n">
        <v>168</v>
      </c>
      <c r="G159" s="0" t="n">
        <v>0.00528958221265913</v>
      </c>
      <c r="H159" s="0" t="n">
        <v>0.450610787247092</v>
      </c>
      <c r="I159" s="0" t="n">
        <v>0.450610787247092</v>
      </c>
      <c r="J159" s="0" t="n">
        <v>1</v>
      </c>
      <c r="K159" s="0" t="n">
        <v>28</v>
      </c>
      <c r="L159" s="0" t="n">
        <v>0.00235630732979887</v>
      </c>
      <c r="M159" s="0" t="n">
        <v>9606</v>
      </c>
      <c r="N159" s="0" t="s">
        <v>709</v>
      </c>
      <c r="O159" s="0" t="s">
        <v>197</v>
      </c>
      <c r="P159" s="0" t="s">
        <v>197</v>
      </c>
      <c r="S159" s="0" t="s">
        <v>1217</v>
      </c>
    </row>
    <row r="160" customFormat="false" ht="15" hidden="false" customHeight="false" outlineLevel="0" collapsed="false">
      <c r="A160" s="0" t="s">
        <v>1218</v>
      </c>
      <c r="B160" s="0" t="s">
        <v>1219</v>
      </c>
      <c r="C160" s="0" t="n">
        <v>1</v>
      </c>
      <c r="D160" s="0" t="n">
        <v>28</v>
      </c>
      <c r="E160" s="0" t="n">
        <v>0</v>
      </c>
      <c r="F160" s="0" t="n">
        <v>197</v>
      </c>
      <c r="G160" s="0" t="n">
        <v>0.00251031020261789</v>
      </c>
      <c r="H160" s="0" t="n">
        <v>0.453697235361547</v>
      </c>
      <c r="I160" s="0" t="n">
        <v>0.453697235361547</v>
      </c>
      <c r="J160" s="0" t="n">
        <v>15</v>
      </c>
      <c r="K160" s="0" t="n">
        <v>24</v>
      </c>
      <c r="L160" s="0" t="n">
        <v>0.00201969199697046</v>
      </c>
      <c r="M160" s="0" t="n">
        <v>9606</v>
      </c>
      <c r="N160" s="0" t="s">
        <v>709</v>
      </c>
      <c r="O160" s="0" t="s">
        <v>547</v>
      </c>
      <c r="P160" s="0" t="s">
        <v>547</v>
      </c>
      <c r="S160" s="0" t="s">
        <v>1220</v>
      </c>
    </row>
    <row r="161" customFormat="false" ht="15" hidden="false" customHeight="false" outlineLevel="0" collapsed="false">
      <c r="A161" s="0" t="s">
        <v>1221</v>
      </c>
      <c r="B161" s="0" t="s">
        <v>1222</v>
      </c>
      <c r="C161" s="0" t="n">
        <v>1</v>
      </c>
      <c r="D161" s="0" t="n">
        <v>28</v>
      </c>
      <c r="E161" s="0" t="n">
        <v>0</v>
      </c>
      <c r="F161" s="0" t="n">
        <v>197</v>
      </c>
      <c r="G161" s="0" t="n">
        <v>0.00251031020261789</v>
      </c>
      <c r="H161" s="0" t="n">
        <v>0.453697235361547</v>
      </c>
      <c r="I161" s="0" t="n">
        <v>0.453697235361547</v>
      </c>
      <c r="J161" s="0" t="n">
        <v>15</v>
      </c>
      <c r="K161" s="0" t="n">
        <v>24</v>
      </c>
      <c r="L161" s="0" t="n">
        <v>0.00201969199697046</v>
      </c>
      <c r="M161" s="0" t="n">
        <v>9606</v>
      </c>
      <c r="N161" s="0" t="s">
        <v>709</v>
      </c>
      <c r="O161" s="0" t="s">
        <v>547</v>
      </c>
      <c r="P161" s="0" t="s">
        <v>547</v>
      </c>
      <c r="S161" s="0" t="s">
        <v>1220</v>
      </c>
    </row>
    <row r="162" customFormat="false" ht="15" hidden="false" customHeight="false" outlineLevel="0" collapsed="false">
      <c r="A162" s="0" t="s">
        <v>1223</v>
      </c>
      <c r="B162" s="0" t="s">
        <v>1224</v>
      </c>
      <c r="C162" s="0" t="n">
        <v>0</v>
      </c>
      <c r="D162" s="0" t="n">
        <v>43</v>
      </c>
      <c r="E162" s="0" t="n">
        <v>1</v>
      </c>
      <c r="F162" s="0" t="n">
        <v>178</v>
      </c>
      <c r="G162" s="0" t="n">
        <v>0.00385511923973462</v>
      </c>
      <c r="H162" s="0" t="n">
        <v>0.453697235361547</v>
      </c>
      <c r="I162" s="0" t="n">
        <v>0.453697235361547</v>
      </c>
      <c r="J162" s="0" t="n">
        <v>1</v>
      </c>
      <c r="K162" s="0" t="n">
        <v>3</v>
      </c>
      <c r="L162" s="46" t="n">
        <v>0.000252461499621307</v>
      </c>
      <c r="M162" s="0" t="n">
        <v>9606</v>
      </c>
      <c r="N162" s="0" t="s">
        <v>709</v>
      </c>
      <c r="Q162" s="0" t="s">
        <v>547</v>
      </c>
      <c r="R162" s="0" t="s">
        <v>1056</v>
      </c>
      <c r="S162" s="0" t="s">
        <v>1225</v>
      </c>
    </row>
    <row r="163" customFormat="false" ht="15" hidden="false" customHeight="false" outlineLevel="0" collapsed="false">
      <c r="A163" s="0" t="s">
        <v>1226</v>
      </c>
      <c r="B163" s="0" t="s">
        <v>1227</v>
      </c>
      <c r="C163" s="0" t="n">
        <v>0</v>
      </c>
      <c r="D163" s="0" t="n">
        <v>63</v>
      </c>
      <c r="E163" s="0" t="n">
        <v>1</v>
      </c>
      <c r="F163" s="0" t="n">
        <v>175</v>
      </c>
      <c r="G163" s="0" t="n">
        <v>0.00564819795589026</v>
      </c>
      <c r="H163" s="0" t="n">
        <v>0.456766710822441</v>
      </c>
      <c r="I163" s="0" t="n">
        <v>0.456766710822441</v>
      </c>
      <c r="J163" s="0" t="n">
        <v>2</v>
      </c>
      <c r="K163" s="0" t="n">
        <v>32</v>
      </c>
      <c r="L163" s="0" t="n">
        <v>0.00269292266262728</v>
      </c>
      <c r="M163" s="0" t="n">
        <v>9606</v>
      </c>
      <c r="N163" s="0" t="s">
        <v>709</v>
      </c>
      <c r="Q163" s="0" t="s">
        <v>579</v>
      </c>
      <c r="R163" s="0" t="s">
        <v>742</v>
      </c>
      <c r="S163" s="0" t="s">
        <v>1108</v>
      </c>
    </row>
    <row r="164" customFormat="false" ht="15" hidden="false" customHeight="false" outlineLevel="0" collapsed="false">
      <c r="A164" s="0" t="s">
        <v>1228</v>
      </c>
      <c r="B164" s="0" t="s">
        <v>1229</v>
      </c>
      <c r="C164" s="0" t="n">
        <v>0</v>
      </c>
      <c r="D164" s="0" t="n">
        <v>107</v>
      </c>
      <c r="E164" s="0" t="n">
        <v>1</v>
      </c>
      <c r="F164" s="0" t="n">
        <v>115</v>
      </c>
      <c r="G164" s="0" t="n">
        <v>0.00959297113143266</v>
      </c>
      <c r="H164" s="0" t="n">
        <v>0.461339299910788</v>
      </c>
      <c r="I164" s="0" t="n">
        <v>0.461339299910788</v>
      </c>
      <c r="J164" s="0" t="n">
        <v>1</v>
      </c>
      <c r="K164" s="0" t="n">
        <v>75</v>
      </c>
      <c r="L164" s="0" t="n">
        <v>0.00631153749053269</v>
      </c>
      <c r="M164" s="0" t="n">
        <v>9606</v>
      </c>
      <c r="N164" s="0" t="s">
        <v>709</v>
      </c>
      <c r="Q164" s="0" t="s">
        <v>558</v>
      </c>
      <c r="R164" s="0" t="s">
        <v>929</v>
      </c>
      <c r="S164" s="0" t="s">
        <v>1128</v>
      </c>
    </row>
    <row r="165" customFormat="false" ht="15" hidden="false" customHeight="false" outlineLevel="0" collapsed="false">
      <c r="A165" s="0" t="s">
        <v>1230</v>
      </c>
      <c r="B165" s="0" t="s">
        <v>1231</v>
      </c>
      <c r="C165" s="0" t="n">
        <v>0</v>
      </c>
      <c r="D165" s="0" t="n">
        <v>25</v>
      </c>
      <c r="E165" s="0" t="n">
        <v>1</v>
      </c>
      <c r="F165" s="0" t="n">
        <v>200</v>
      </c>
      <c r="G165" s="0" t="n">
        <v>0.00224134839519454</v>
      </c>
      <c r="H165" s="0" t="n">
        <v>0.46436674219524</v>
      </c>
      <c r="I165" s="0" t="n">
        <v>0.46436674219524</v>
      </c>
      <c r="J165" s="0" t="n">
        <v>1</v>
      </c>
      <c r="K165" s="0" t="n">
        <v>24</v>
      </c>
      <c r="L165" s="0" t="n">
        <v>0.00201969199697046</v>
      </c>
      <c r="M165" s="0" t="n">
        <v>9606</v>
      </c>
      <c r="N165" s="0" t="s">
        <v>709</v>
      </c>
      <c r="Q165" s="0" t="s">
        <v>547</v>
      </c>
      <c r="R165" s="0" t="s">
        <v>1232</v>
      </c>
      <c r="S165" s="0" t="s">
        <v>1233</v>
      </c>
    </row>
    <row r="166" customFormat="false" ht="15" hidden="false" customHeight="false" outlineLevel="0" collapsed="false">
      <c r="A166" s="0" t="s">
        <v>1234</v>
      </c>
      <c r="B166" s="0" t="s">
        <v>1235</v>
      </c>
      <c r="C166" s="0" t="n">
        <v>0</v>
      </c>
      <c r="D166" s="0" t="n">
        <v>71</v>
      </c>
      <c r="E166" s="0" t="n">
        <v>1</v>
      </c>
      <c r="F166" s="0" t="n">
        <v>175</v>
      </c>
      <c r="G166" s="0" t="n">
        <v>0.00636542944235251</v>
      </c>
      <c r="H166" s="0" t="n">
        <v>0.468876705259759</v>
      </c>
      <c r="I166" s="0" t="n">
        <v>0.468876705259759</v>
      </c>
      <c r="J166" s="0" t="n">
        <v>2</v>
      </c>
      <c r="K166" s="0" t="n">
        <v>35</v>
      </c>
      <c r="L166" s="0" t="n">
        <v>0.00294538416224859</v>
      </c>
      <c r="M166" s="0" t="n">
        <v>9606</v>
      </c>
      <c r="N166" s="0" t="s">
        <v>709</v>
      </c>
      <c r="Q166" s="0" t="s">
        <v>579</v>
      </c>
      <c r="R166" s="0" t="s">
        <v>742</v>
      </c>
      <c r="S166" s="0" t="s">
        <v>1108</v>
      </c>
    </row>
    <row r="167" customFormat="false" ht="15" hidden="false" customHeight="false" outlineLevel="0" collapsed="false">
      <c r="A167" s="0" t="s">
        <v>1236</v>
      </c>
      <c r="B167" s="0" t="s">
        <v>1237</v>
      </c>
      <c r="C167" s="0" t="n">
        <v>1</v>
      </c>
      <c r="D167" s="0" t="n">
        <v>305</v>
      </c>
      <c r="E167" s="0" t="n">
        <v>1</v>
      </c>
      <c r="F167" s="0" t="n">
        <v>288</v>
      </c>
      <c r="G167" s="0" t="n">
        <v>0.0273444504213734</v>
      </c>
      <c r="H167" s="0" t="n">
        <v>0.470768411772818</v>
      </c>
      <c r="I167" s="0" t="n">
        <v>0.470768411772818</v>
      </c>
      <c r="J167" s="0" t="n">
        <v>13</v>
      </c>
      <c r="K167" s="0" t="n">
        <v>133</v>
      </c>
      <c r="L167" s="0" t="n">
        <v>0.0111924598165446</v>
      </c>
      <c r="M167" s="0" t="n">
        <v>9606</v>
      </c>
      <c r="N167" s="0" t="s">
        <v>709</v>
      </c>
      <c r="O167" s="0" t="s">
        <v>564</v>
      </c>
      <c r="P167" s="0" t="s">
        <v>564</v>
      </c>
      <c r="Q167" s="0" t="s">
        <v>579</v>
      </c>
      <c r="R167" s="0" t="s">
        <v>807</v>
      </c>
      <c r="S167" s="0" t="s">
        <v>1238</v>
      </c>
    </row>
    <row r="168" customFormat="false" ht="15" hidden="false" customHeight="false" outlineLevel="0" collapsed="false">
      <c r="A168" s="0" t="s">
        <v>1239</v>
      </c>
      <c r="B168" s="0" t="s">
        <v>1240</v>
      </c>
      <c r="C168" s="0" t="n">
        <v>0</v>
      </c>
      <c r="D168" s="0" t="n">
        <v>88</v>
      </c>
      <c r="E168" s="0" t="n">
        <v>1</v>
      </c>
      <c r="F168" s="0" t="n">
        <v>158</v>
      </c>
      <c r="G168" s="0" t="n">
        <v>0.00788954635108481</v>
      </c>
      <c r="H168" s="0" t="n">
        <v>0.482184759002509</v>
      </c>
      <c r="I168" s="0" t="n">
        <v>0.482184759002509</v>
      </c>
      <c r="J168" s="0" t="n">
        <v>1</v>
      </c>
      <c r="K168" s="0" t="n">
        <v>34</v>
      </c>
      <c r="L168" s="0" t="n">
        <v>0.00286123032904148</v>
      </c>
      <c r="M168" s="0" t="n">
        <v>9606</v>
      </c>
      <c r="N168" s="0" t="s">
        <v>709</v>
      </c>
      <c r="Q168" s="0" t="s">
        <v>547</v>
      </c>
      <c r="R168" s="0" t="s">
        <v>749</v>
      </c>
      <c r="S168" s="0" t="s">
        <v>1018</v>
      </c>
    </row>
    <row r="169" customFormat="false" ht="15" hidden="false" customHeight="false" outlineLevel="0" collapsed="false">
      <c r="A169" s="0" t="s">
        <v>1241</v>
      </c>
      <c r="B169" s="0" t="s">
        <v>1242</v>
      </c>
      <c r="C169" s="0" t="n">
        <v>1</v>
      </c>
      <c r="D169" s="0" t="n">
        <v>111</v>
      </c>
      <c r="E169" s="0" t="n">
        <v>0</v>
      </c>
      <c r="F169" s="0" t="n">
        <v>137</v>
      </c>
      <c r="G169" s="0" t="n">
        <v>0.00995158687466379</v>
      </c>
      <c r="H169" s="0" t="n">
        <v>0.486547823146451</v>
      </c>
      <c r="I169" s="0" t="n">
        <v>0.486547823146451</v>
      </c>
      <c r="J169" s="0" t="n">
        <v>1</v>
      </c>
      <c r="K169" s="0" t="n">
        <v>46</v>
      </c>
      <c r="L169" s="0" t="n">
        <v>0.00387107632752671</v>
      </c>
      <c r="M169" s="0" t="n">
        <v>9606</v>
      </c>
      <c r="N169" s="0" t="s">
        <v>709</v>
      </c>
      <c r="O169" s="0" t="s">
        <v>547</v>
      </c>
      <c r="P169" s="0" t="s">
        <v>547</v>
      </c>
      <c r="S169" s="0" t="s">
        <v>1243</v>
      </c>
    </row>
    <row r="170" customFormat="false" ht="15" hidden="false" customHeight="false" outlineLevel="0" collapsed="false">
      <c r="A170" s="0" t="s">
        <v>1244</v>
      </c>
      <c r="B170" s="0" t="s">
        <v>1245</v>
      </c>
      <c r="C170" s="0" t="n">
        <v>1</v>
      </c>
      <c r="D170" s="0" t="n">
        <v>181</v>
      </c>
      <c r="E170" s="0" t="n">
        <v>0</v>
      </c>
      <c r="F170" s="0" t="n">
        <v>60</v>
      </c>
      <c r="G170" s="0" t="n">
        <v>0.0162273623812085</v>
      </c>
      <c r="H170" s="0" t="n">
        <v>0.4879941663493</v>
      </c>
      <c r="I170" s="0" t="n">
        <v>0.4879941663493</v>
      </c>
      <c r="J170" s="0" t="n">
        <v>1</v>
      </c>
      <c r="K170" s="0" t="n">
        <v>88</v>
      </c>
      <c r="L170" s="0" t="n">
        <v>0.00740553732222502</v>
      </c>
      <c r="M170" s="0" t="n">
        <v>9606</v>
      </c>
      <c r="N170" s="0" t="s">
        <v>709</v>
      </c>
      <c r="O170" s="0" t="s">
        <v>566</v>
      </c>
      <c r="P170" s="0" t="s">
        <v>566</v>
      </c>
      <c r="S170" s="0" t="s">
        <v>867</v>
      </c>
    </row>
    <row r="171" customFormat="false" ht="15" hidden="false" customHeight="false" outlineLevel="0" collapsed="false">
      <c r="A171" s="0" t="s">
        <v>1246</v>
      </c>
      <c r="B171" s="0" t="s">
        <v>1247</v>
      </c>
      <c r="C171" s="0" t="n">
        <v>0</v>
      </c>
      <c r="D171" s="0" t="n">
        <v>9</v>
      </c>
      <c r="E171" s="0" t="n">
        <v>1</v>
      </c>
      <c r="F171" s="0" t="n">
        <v>251</v>
      </c>
      <c r="G171" s="46" t="n">
        <v>0.000806885422270037</v>
      </c>
      <c r="H171" s="0" t="n">
        <v>0.517462560883906</v>
      </c>
      <c r="I171" s="0" t="n">
        <v>0.517462560883906</v>
      </c>
      <c r="J171" s="0" t="n">
        <v>4</v>
      </c>
      <c r="K171" s="0" t="n">
        <v>21</v>
      </c>
      <c r="L171" s="0" t="n">
        <v>0.00176723049734915</v>
      </c>
      <c r="M171" s="0" t="n">
        <v>9606</v>
      </c>
      <c r="N171" s="0" t="s">
        <v>709</v>
      </c>
      <c r="Q171" s="0" t="s">
        <v>569</v>
      </c>
      <c r="R171" s="0" t="s">
        <v>1058</v>
      </c>
      <c r="S171" s="0" t="s">
        <v>1248</v>
      </c>
    </row>
    <row r="172" customFormat="false" ht="15" hidden="false" customHeight="false" outlineLevel="0" collapsed="false">
      <c r="A172" s="0" t="s">
        <v>1249</v>
      </c>
      <c r="B172" s="0" t="s">
        <v>1250</v>
      </c>
      <c r="C172" s="0" t="n">
        <v>0</v>
      </c>
      <c r="D172" s="0" t="n">
        <v>32</v>
      </c>
      <c r="E172" s="0" t="n">
        <v>1</v>
      </c>
      <c r="F172" s="0" t="n">
        <v>236</v>
      </c>
      <c r="G172" s="0" t="n">
        <v>0.00286892594584902</v>
      </c>
      <c r="H172" s="0" t="n">
        <v>0.518823614991085</v>
      </c>
      <c r="I172" s="0" t="n">
        <v>0.518823614991085</v>
      </c>
      <c r="J172" s="0" t="n">
        <v>1</v>
      </c>
      <c r="K172" s="0" t="n">
        <v>32</v>
      </c>
      <c r="L172" s="0" t="n">
        <v>0.00269292266262728</v>
      </c>
      <c r="M172" s="0" t="n">
        <v>9606</v>
      </c>
      <c r="N172" s="0" t="s">
        <v>709</v>
      </c>
      <c r="Q172" s="0" t="s">
        <v>547</v>
      </c>
      <c r="R172" s="0" t="s">
        <v>1232</v>
      </c>
      <c r="S172" s="0" t="s">
        <v>1233</v>
      </c>
    </row>
    <row r="173" customFormat="false" ht="15" hidden="false" customHeight="false" outlineLevel="0" collapsed="false">
      <c r="A173" s="0" t="s">
        <v>1251</v>
      </c>
      <c r="B173" s="0" t="s">
        <v>1252</v>
      </c>
      <c r="C173" s="0" t="n">
        <v>0</v>
      </c>
      <c r="D173" s="0" t="n">
        <v>29</v>
      </c>
      <c r="E173" s="0" t="n">
        <v>1</v>
      </c>
      <c r="F173" s="0" t="n">
        <v>243</v>
      </c>
      <c r="G173" s="0" t="n">
        <v>0.00259996413842567</v>
      </c>
      <c r="H173" s="0" t="n">
        <v>0.520180911539249</v>
      </c>
      <c r="I173" s="0" t="n">
        <v>0.520180911539249</v>
      </c>
      <c r="J173" s="0" t="n">
        <v>1</v>
      </c>
      <c r="K173" s="0" t="n">
        <v>20</v>
      </c>
      <c r="L173" s="0" t="n">
        <v>0.00168307666414205</v>
      </c>
      <c r="M173" s="0" t="n">
        <v>9606</v>
      </c>
      <c r="N173" s="0" t="s">
        <v>709</v>
      </c>
      <c r="Q173" s="0" t="s">
        <v>547</v>
      </c>
      <c r="R173" s="0" t="s">
        <v>749</v>
      </c>
      <c r="S173" s="0" t="s">
        <v>1206</v>
      </c>
    </row>
    <row r="174" customFormat="false" ht="15" hidden="false" customHeight="false" outlineLevel="0" collapsed="false">
      <c r="A174" s="0" t="s">
        <v>1253</v>
      </c>
      <c r="B174" s="0" t="s">
        <v>1254</v>
      </c>
      <c r="C174" s="0" t="n">
        <v>0</v>
      </c>
      <c r="D174" s="0" t="n">
        <v>95</v>
      </c>
      <c r="E174" s="0" t="n">
        <v>1</v>
      </c>
      <c r="F174" s="0" t="n">
        <v>187</v>
      </c>
      <c r="G174" s="0" t="n">
        <v>0.00851712390173928</v>
      </c>
      <c r="H174" s="0" t="n">
        <v>0.536179048004347</v>
      </c>
      <c r="I174" s="0" t="n">
        <v>0.536179048004347</v>
      </c>
      <c r="J174" s="0" t="n">
        <v>2</v>
      </c>
      <c r="K174" s="0" t="n">
        <v>70</v>
      </c>
      <c r="L174" s="0" t="n">
        <v>0.00589076832449718</v>
      </c>
      <c r="M174" s="0" t="n">
        <v>9606</v>
      </c>
      <c r="N174" s="0" t="s">
        <v>709</v>
      </c>
      <c r="Q174" s="0" t="s">
        <v>547</v>
      </c>
      <c r="R174" s="0" t="s">
        <v>815</v>
      </c>
      <c r="S174" s="0" t="s">
        <v>1045</v>
      </c>
    </row>
    <row r="175" customFormat="false" ht="15" hidden="false" customHeight="false" outlineLevel="0" collapsed="false">
      <c r="A175" s="0" t="s">
        <v>1255</v>
      </c>
      <c r="B175" s="0" t="s">
        <v>1256</v>
      </c>
      <c r="C175" s="0" t="n">
        <v>0</v>
      </c>
      <c r="D175" s="0" t="n">
        <v>118</v>
      </c>
      <c r="E175" s="0" t="n">
        <v>1</v>
      </c>
      <c r="F175" s="0" t="n">
        <v>165</v>
      </c>
      <c r="G175" s="0" t="n">
        <v>0.0105791644253182</v>
      </c>
      <c r="H175" s="0" t="n">
        <v>0.537488410143373</v>
      </c>
      <c r="I175" s="0" t="n">
        <v>0.537488410143373</v>
      </c>
      <c r="J175" s="0" t="n">
        <v>2</v>
      </c>
      <c r="K175" s="0" t="n">
        <v>20</v>
      </c>
      <c r="L175" s="0" t="n">
        <v>0.00168307666414205</v>
      </c>
      <c r="M175" s="0" t="n">
        <v>9606</v>
      </c>
      <c r="N175" s="0" t="s">
        <v>709</v>
      </c>
      <c r="Q175" s="0" t="s">
        <v>579</v>
      </c>
      <c r="R175" s="0" t="s">
        <v>742</v>
      </c>
      <c r="S175" s="0" t="s">
        <v>1108</v>
      </c>
    </row>
    <row r="176" customFormat="false" ht="15" hidden="false" customHeight="false" outlineLevel="0" collapsed="false">
      <c r="A176" s="0" t="s">
        <v>1257</v>
      </c>
      <c r="B176" s="0" t="s">
        <v>1258</v>
      </c>
      <c r="C176" s="0" t="n">
        <v>1</v>
      </c>
      <c r="D176" s="0" t="n">
        <v>156</v>
      </c>
      <c r="E176" s="0" t="n">
        <v>1</v>
      </c>
      <c r="F176" s="0" t="n">
        <v>550</v>
      </c>
      <c r="G176" s="0" t="n">
        <v>0.0139860139860139</v>
      </c>
      <c r="H176" s="0" t="n">
        <v>0.53822440301393</v>
      </c>
      <c r="I176" s="0" t="n">
        <v>0.53822440301393</v>
      </c>
      <c r="J176" s="0" t="n">
        <v>3</v>
      </c>
      <c r="K176" s="0" t="n">
        <v>182</v>
      </c>
      <c r="L176" s="0" t="n">
        <v>0.0153159976436926</v>
      </c>
      <c r="M176" s="0" t="n">
        <v>9606</v>
      </c>
      <c r="N176" s="0" t="s">
        <v>709</v>
      </c>
      <c r="O176" s="0" t="s">
        <v>335</v>
      </c>
      <c r="P176" s="0" t="s">
        <v>335</v>
      </c>
      <c r="Q176" s="0" t="s">
        <v>579</v>
      </c>
      <c r="R176" s="0" t="s">
        <v>742</v>
      </c>
      <c r="S176" s="0" t="s">
        <v>1259</v>
      </c>
    </row>
    <row r="177" customFormat="false" ht="15" hidden="false" customHeight="false" outlineLevel="0" collapsed="false">
      <c r="A177" s="0" t="s">
        <v>1260</v>
      </c>
      <c r="B177" s="0" t="s">
        <v>1261</v>
      </c>
      <c r="C177" s="0" t="n">
        <v>1</v>
      </c>
      <c r="D177" s="0" t="n">
        <v>129</v>
      </c>
      <c r="E177" s="0" t="n">
        <v>0</v>
      </c>
      <c r="F177" s="0" t="n">
        <v>162</v>
      </c>
      <c r="G177" s="0" t="n">
        <v>0.0115653577192038</v>
      </c>
      <c r="H177" s="0" t="n">
        <v>0.55418442415089</v>
      </c>
      <c r="I177" s="0" t="n">
        <v>0.55418442415089</v>
      </c>
      <c r="J177" s="0" t="n">
        <v>1</v>
      </c>
      <c r="K177" s="0" t="n">
        <v>125</v>
      </c>
      <c r="L177" s="0" t="n">
        <v>0.0105192291508878</v>
      </c>
      <c r="M177" s="0" t="n">
        <v>9606</v>
      </c>
      <c r="N177" s="0" t="s">
        <v>709</v>
      </c>
      <c r="O177" s="0" t="s">
        <v>551</v>
      </c>
      <c r="P177" s="0" t="s">
        <v>551</v>
      </c>
      <c r="S177" s="0" t="s">
        <v>956</v>
      </c>
    </row>
    <row r="178" customFormat="false" ht="15" hidden="false" customHeight="false" outlineLevel="0" collapsed="false">
      <c r="A178" s="0" t="s">
        <v>1262</v>
      </c>
      <c r="B178" s="0" t="s">
        <v>1263</v>
      </c>
      <c r="C178" s="0" t="n">
        <v>2</v>
      </c>
      <c r="D178" s="0" t="n">
        <v>487</v>
      </c>
      <c r="E178" s="0" t="n">
        <v>4</v>
      </c>
      <c r="F178" s="0" t="n">
        <v>1451</v>
      </c>
      <c r="G178" s="0" t="n">
        <v>0.0436614667383898</v>
      </c>
      <c r="H178" s="0" t="n">
        <v>0.559121194216156</v>
      </c>
      <c r="I178" s="0" t="n">
        <v>0.559121194216156</v>
      </c>
      <c r="J178" s="0" t="n">
        <v>6</v>
      </c>
      <c r="K178" s="0" t="n">
        <v>648</v>
      </c>
      <c r="L178" s="0" t="n">
        <v>0.0545316839182024</v>
      </c>
      <c r="M178" s="0" t="n">
        <v>9606</v>
      </c>
      <c r="N178" s="0" t="s">
        <v>709</v>
      </c>
      <c r="O178" s="0" t="s">
        <v>974</v>
      </c>
      <c r="P178" s="0" t="s">
        <v>974</v>
      </c>
      <c r="Q178" s="0" t="s">
        <v>547</v>
      </c>
      <c r="R178" s="0" t="s">
        <v>562</v>
      </c>
      <c r="S178" s="0" t="s">
        <v>579</v>
      </c>
      <c r="T178" s="0" t="s">
        <v>547</v>
      </c>
      <c r="U178" s="0" t="s">
        <v>1049</v>
      </c>
      <c r="V178" s="0" t="s">
        <v>749</v>
      </c>
      <c r="W178" s="0" t="s">
        <v>920</v>
      </c>
      <c r="X178" s="0" t="s">
        <v>763</v>
      </c>
      <c r="Y178" s="0" t="s">
        <v>1264</v>
      </c>
    </row>
    <row r="179" customFormat="false" ht="15" hidden="false" customHeight="false" outlineLevel="0" collapsed="false">
      <c r="A179" s="0" t="s">
        <v>1265</v>
      </c>
      <c r="B179" s="0" t="s">
        <v>1266</v>
      </c>
      <c r="C179" s="0" t="n">
        <v>1</v>
      </c>
      <c r="D179" s="0" t="n">
        <v>251</v>
      </c>
      <c r="E179" s="0" t="n">
        <v>2</v>
      </c>
      <c r="F179" s="0" t="n">
        <v>444</v>
      </c>
      <c r="G179" s="0" t="n">
        <v>0.0225031378877532</v>
      </c>
      <c r="H179" s="0" t="n">
        <v>0.566509385990174</v>
      </c>
      <c r="I179" s="0" t="n">
        <v>0.566509385990174</v>
      </c>
      <c r="J179" s="0" t="n">
        <v>3</v>
      </c>
      <c r="K179" s="0" t="n">
        <v>190</v>
      </c>
      <c r="L179" s="0" t="n">
        <v>0.0159892283093494</v>
      </c>
      <c r="M179" s="0" t="n">
        <v>9606</v>
      </c>
      <c r="N179" s="0" t="s">
        <v>709</v>
      </c>
      <c r="O179" s="0" t="s">
        <v>569</v>
      </c>
      <c r="P179" s="0" t="s">
        <v>569</v>
      </c>
      <c r="Q179" s="0" t="s">
        <v>558</v>
      </c>
      <c r="R179" s="0" t="s">
        <v>569</v>
      </c>
      <c r="S179" s="0" t="s">
        <v>929</v>
      </c>
      <c r="T179" s="0" t="s">
        <v>930</v>
      </c>
      <c r="U179" s="0" t="s">
        <v>1267</v>
      </c>
    </row>
    <row r="180" customFormat="false" ht="15" hidden="false" customHeight="false" outlineLevel="0" collapsed="false">
      <c r="A180" s="0" t="s">
        <v>1268</v>
      </c>
      <c r="B180" s="0" t="s">
        <v>1269</v>
      </c>
      <c r="C180" s="0" t="n">
        <v>0</v>
      </c>
      <c r="D180" s="0" t="n">
        <v>94</v>
      </c>
      <c r="E180" s="0" t="n">
        <v>1</v>
      </c>
      <c r="F180" s="0" t="n">
        <v>240</v>
      </c>
      <c r="G180" s="0" t="n">
        <v>0.0084274699659315</v>
      </c>
      <c r="H180" s="0" t="n">
        <v>0.584650605099583</v>
      </c>
      <c r="I180" s="0" t="n">
        <v>0.584650605099583</v>
      </c>
      <c r="J180" s="0" t="n">
        <v>2</v>
      </c>
      <c r="K180" s="0" t="n">
        <v>39</v>
      </c>
      <c r="L180" s="0" t="n">
        <v>0.003281999495077</v>
      </c>
      <c r="M180" s="0" t="n">
        <v>9606</v>
      </c>
      <c r="N180" s="0" t="s">
        <v>709</v>
      </c>
      <c r="Q180" s="0" t="s">
        <v>579</v>
      </c>
      <c r="R180" s="0" t="s">
        <v>742</v>
      </c>
      <c r="S180" s="0" t="s">
        <v>1108</v>
      </c>
    </row>
    <row r="181" customFormat="false" ht="15" hidden="false" customHeight="false" outlineLevel="0" collapsed="false">
      <c r="A181" s="0" t="s">
        <v>1270</v>
      </c>
      <c r="B181" s="0" t="s">
        <v>1271</v>
      </c>
      <c r="C181" s="0" t="n">
        <v>1</v>
      </c>
      <c r="D181" s="0" t="n">
        <v>79</v>
      </c>
      <c r="E181" s="0" t="n">
        <v>0</v>
      </c>
      <c r="F181" s="0" t="n">
        <v>261</v>
      </c>
      <c r="G181" s="0" t="n">
        <v>0.00708266092881477</v>
      </c>
      <c r="H181" s="0" t="n">
        <v>0.595111685958618</v>
      </c>
      <c r="I181" s="0" t="n">
        <v>0.595111685958618</v>
      </c>
      <c r="J181" s="0" t="n">
        <v>1</v>
      </c>
      <c r="K181" s="0" t="n">
        <v>49</v>
      </c>
      <c r="L181" s="0" t="n">
        <v>0.00412353782714802</v>
      </c>
      <c r="M181" s="0" t="n">
        <v>9606</v>
      </c>
      <c r="N181" s="0" t="s">
        <v>709</v>
      </c>
      <c r="O181" s="0" t="s">
        <v>547</v>
      </c>
      <c r="P181" s="0" t="s">
        <v>547</v>
      </c>
      <c r="S181" s="0" t="s">
        <v>1091</v>
      </c>
    </row>
    <row r="182" customFormat="false" ht="15" hidden="false" customHeight="false" outlineLevel="0" collapsed="false">
      <c r="A182" s="0" t="s">
        <v>1272</v>
      </c>
      <c r="B182" s="0" t="s">
        <v>1273</v>
      </c>
      <c r="C182" s="0" t="n">
        <v>1</v>
      </c>
      <c r="D182" s="0" t="n">
        <v>259</v>
      </c>
      <c r="E182" s="0" t="n">
        <v>0</v>
      </c>
      <c r="F182" s="0" t="n">
        <v>87</v>
      </c>
      <c r="G182" s="0" t="n">
        <v>0.0232203693742155</v>
      </c>
      <c r="H182" s="0" t="n">
        <v>0.600811510555812</v>
      </c>
      <c r="I182" s="0" t="n">
        <v>0.600811510555812</v>
      </c>
      <c r="J182" s="0" t="n">
        <v>4</v>
      </c>
      <c r="K182" s="0" t="n">
        <v>39</v>
      </c>
      <c r="L182" s="0" t="n">
        <v>0.003281999495077</v>
      </c>
      <c r="M182" s="0" t="n">
        <v>9606</v>
      </c>
      <c r="N182" s="0" t="s">
        <v>709</v>
      </c>
      <c r="O182" s="0" t="s">
        <v>547</v>
      </c>
      <c r="P182" s="0" t="s">
        <v>547</v>
      </c>
      <c r="S182" s="0" t="s">
        <v>978</v>
      </c>
    </row>
    <row r="183" customFormat="false" ht="15" hidden="false" customHeight="false" outlineLevel="0" collapsed="false">
      <c r="A183" s="0" t="s">
        <v>1274</v>
      </c>
      <c r="B183" s="0" t="s">
        <v>1275</v>
      </c>
      <c r="C183" s="0" t="n">
        <v>0</v>
      </c>
      <c r="D183" s="0" t="n">
        <v>61</v>
      </c>
      <c r="E183" s="0" t="n">
        <v>1</v>
      </c>
      <c r="F183" s="0" t="n">
        <v>273</v>
      </c>
      <c r="G183" s="0" t="n">
        <v>0.0054688900842747</v>
      </c>
      <c r="H183" s="0" t="n">
        <v>0.600811510555812</v>
      </c>
      <c r="I183" s="0" t="n">
        <v>0.600811510555812</v>
      </c>
      <c r="J183" s="0" t="n">
        <v>1</v>
      </c>
      <c r="K183" s="0" t="n">
        <v>52</v>
      </c>
      <c r="L183" s="0" t="n">
        <v>0.00437599932676933</v>
      </c>
      <c r="M183" s="0" t="n">
        <v>9606</v>
      </c>
      <c r="N183" s="0" t="s">
        <v>709</v>
      </c>
      <c r="Q183" s="0" t="s">
        <v>562</v>
      </c>
      <c r="R183" s="0" t="s">
        <v>763</v>
      </c>
      <c r="S183" s="0" t="s">
        <v>1212</v>
      </c>
    </row>
    <row r="184" customFormat="false" ht="15" hidden="false" customHeight="false" outlineLevel="0" collapsed="false">
      <c r="A184" s="0" t="s">
        <v>1276</v>
      </c>
      <c r="B184" s="0" t="s">
        <v>1277</v>
      </c>
      <c r="C184" s="0" t="n">
        <v>0</v>
      </c>
      <c r="D184" s="0" t="n">
        <v>79</v>
      </c>
      <c r="E184" s="0" t="n">
        <v>1</v>
      </c>
      <c r="F184" s="0" t="n">
        <v>270</v>
      </c>
      <c r="G184" s="0" t="n">
        <v>0.00708266092881477</v>
      </c>
      <c r="H184" s="0" t="n">
        <v>0.600811510555812</v>
      </c>
      <c r="I184" s="0" t="n">
        <v>0.600811510555812</v>
      </c>
      <c r="J184" s="0" t="n">
        <v>1</v>
      </c>
      <c r="K184" s="0" t="n">
        <v>59</v>
      </c>
      <c r="L184" s="0" t="n">
        <v>0.00496507615921905</v>
      </c>
      <c r="M184" s="0" t="n">
        <v>9606</v>
      </c>
      <c r="N184" s="0" t="s">
        <v>709</v>
      </c>
      <c r="Q184" s="0" t="s">
        <v>579</v>
      </c>
      <c r="R184" s="0" t="s">
        <v>920</v>
      </c>
      <c r="S184" s="0" t="s">
        <v>921</v>
      </c>
    </row>
    <row r="185" customFormat="false" ht="15" hidden="false" customHeight="false" outlineLevel="0" collapsed="false">
      <c r="A185" s="0" t="s">
        <v>1278</v>
      </c>
      <c r="B185" s="0" t="s">
        <v>1279</v>
      </c>
      <c r="C185" s="0" t="n">
        <v>0</v>
      </c>
      <c r="D185" s="0" t="n">
        <v>58</v>
      </c>
      <c r="E185" s="0" t="n">
        <v>1</v>
      </c>
      <c r="F185" s="0" t="n">
        <v>305</v>
      </c>
      <c r="G185" s="0" t="n">
        <v>0.00519992827685135</v>
      </c>
      <c r="H185" s="0" t="n">
        <v>0.610873946764779</v>
      </c>
      <c r="I185" s="0" t="n">
        <v>0.610873946764779</v>
      </c>
      <c r="J185" s="0" t="n">
        <v>1</v>
      </c>
      <c r="K185" s="0" t="n">
        <v>45</v>
      </c>
      <c r="L185" s="0" t="n">
        <v>0.00378692249431961</v>
      </c>
      <c r="M185" s="0" t="n">
        <v>9606</v>
      </c>
      <c r="N185" s="0" t="s">
        <v>709</v>
      </c>
      <c r="Q185" s="0" t="s">
        <v>558</v>
      </c>
      <c r="R185" s="0" t="s">
        <v>744</v>
      </c>
      <c r="S185" s="0" t="s">
        <v>1170</v>
      </c>
    </row>
    <row r="186" customFormat="false" ht="15" hidden="false" customHeight="false" outlineLevel="0" collapsed="false">
      <c r="A186" s="0" t="s">
        <v>1280</v>
      </c>
      <c r="B186" s="0" t="s">
        <v>1281</v>
      </c>
      <c r="C186" s="0" t="n">
        <v>0</v>
      </c>
      <c r="D186" s="0" t="n">
        <v>91</v>
      </c>
      <c r="E186" s="0" t="n">
        <v>2</v>
      </c>
      <c r="F186" s="0" t="n">
        <v>673</v>
      </c>
      <c r="G186" s="0" t="n">
        <v>0.00815850815850815</v>
      </c>
      <c r="H186" s="0" t="n">
        <v>0.621627083743895</v>
      </c>
      <c r="I186" s="0" t="n">
        <v>0.621627083743895</v>
      </c>
      <c r="J186" s="0" t="n">
        <v>5</v>
      </c>
      <c r="K186" s="0" t="n">
        <v>94</v>
      </c>
      <c r="L186" s="0" t="n">
        <v>0.00791046032146764</v>
      </c>
      <c r="M186" s="0" t="n">
        <v>9606</v>
      </c>
      <c r="N186" s="0" t="s">
        <v>709</v>
      </c>
      <c r="Q186" s="0" t="s">
        <v>564</v>
      </c>
      <c r="R186" s="0" t="s">
        <v>569</v>
      </c>
      <c r="S186" s="0" t="s">
        <v>1057</v>
      </c>
      <c r="T186" s="0" t="s">
        <v>1058</v>
      </c>
      <c r="U186" s="0" t="s">
        <v>1282</v>
      </c>
    </row>
    <row r="187" customFormat="false" ht="15" hidden="false" customHeight="false" outlineLevel="0" collapsed="false">
      <c r="A187" s="0" t="s">
        <v>1283</v>
      </c>
      <c r="B187" s="0" t="s">
        <v>1284</v>
      </c>
      <c r="C187" s="0" t="n">
        <v>1</v>
      </c>
      <c r="D187" s="0" t="n">
        <v>155</v>
      </c>
      <c r="E187" s="0" t="n">
        <v>0</v>
      </c>
      <c r="F187" s="0" t="n">
        <v>217</v>
      </c>
      <c r="G187" s="0" t="n">
        <v>0.0138963600502062</v>
      </c>
      <c r="H187" s="0" t="n">
        <v>0.626035140665213</v>
      </c>
      <c r="I187" s="0" t="n">
        <v>0.626035140665213</v>
      </c>
      <c r="J187" s="0" t="n">
        <v>11</v>
      </c>
      <c r="K187" s="0" t="n">
        <v>39</v>
      </c>
      <c r="L187" s="0" t="n">
        <v>0.003281999495077</v>
      </c>
      <c r="M187" s="0" t="n">
        <v>9606</v>
      </c>
      <c r="N187" s="0" t="s">
        <v>709</v>
      </c>
      <c r="O187" s="0" t="s">
        <v>564</v>
      </c>
      <c r="P187" s="0" t="s">
        <v>564</v>
      </c>
      <c r="S187" s="0" t="s">
        <v>1285</v>
      </c>
    </row>
    <row r="188" customFormat="false" ht="15" hidden="false" customHeight="false" outlineLevel="0" collapsed="false">
      <c r="A188" s="0" t="s">
        <v>1286</v>
      </c>
      <c r="B188" s="0" t="s">
        <v>1287</v>
      </c>
      <c r="C188" s="0" t="n">
        <v>1</v>
      </c>
      <c r="D188" s="0" t="n">
        <v>85</v>
      </c>
      <c r="E188" s="0" t="n">
        <v>1</v>
      </c>
      <c r="F188" s="0" t="n">
        <v>288</v>
      </c>
      <c r="G188" s="0" t="n">
        <v>0.00762058454366146</v>
      </c>
      <c r="H188" s="0" t="n">
        <v>0.633397382730045</v>
      </c>
      <c r="I188" s="0" t="n">
        <v>0.633397382730045</v>
      </c>
      <c r="J188" s="0" t="n">
        <v>3</v>
      </c>
      <c r="K188" s="0" t="n">
        <v>54</v>
      </c>
      <c r="L188" s="0" t="n">
        <v>0.00454430699318353</v>
      </c>
      <c r="M188" s="0" t="n">
        <v>9606</v>
      </c>
      <c r="N188" s="0" t="s">
        <v>709</v>
      </c>
      <c r="O188" s="0" t="s">
        <v>547</v>
      </c>
      <c r="P188" s="0" t="s">
        <v>547</v>
      </c>
      <c r="Q188" s="0" t="s">
        <v>547</v>
      </c>
      <c r="R188" s="0" t="s">
        <v>547</v>
      </c>
      <c r="S188" s="0" t="s">
        <v>1118</v>
      </c>
      <c r="T188" s="0" t="s">
        <v>1288</v>
      </c>
    </row>
    <row r="189" customFormat="false" ht="15" hidden="false" customHeight="false" outlineLevel="0" collapsed="false">
      <c r="A189" s="0" t="s">
        <v>1289</v>
      </c>
      <c r="B189" s="0" t="s">
        <v>1290</v>
      </c>
      <c r="C189" s="0" t="n">
        <v>0</v>
      </c>
      <c r="D189" s="0" t="n">
        <v>89</v>
      </c>
      <c r="E189" s="0" t="n">
        <v>1</v>
      </c>
      <c r="F189" s="0" t="n">
        <v>274</v>
      </c>
      <c r="G189" s="0" t="n">
        <v>0.00797920028689259</v>
      </c>
      <c r="H189" s="0" t="n">
        <v>0.633397382730045</v>
      </c>
      <c r="I189" s="0" t="n">
        <v>0.633397382730045</v>
      </c>
      <c r="J189" s="0" t="n">
        <v>2</v>
      </c>
      <c r="K189" s="0" t="n">
        <v>58</v>
      </c>
      <c r="L189" s="0" t="n">
        <v>0.00488092232601194</v>
      </c>
      <c r="M189" s="0" t="n">
        <v>9606</v>
      </c>
      <c r="N189" s="0" t="s">
        <v>709</v>
      </c>
      <c r="Q189" s="0" t="s">
        <v>547</v>
      </c>
      <c r="R189" s="0" t="s">
        <v>815</v>
      </c>
      <c r="S189" s="0" t="s">
        <v>1045</v>
      </c>
    </row>
    <row r="190" customFormat="false" ht="15" hidden="false" customHeight="false" outlineLevel="0" collapsed="false">
      <c r="A190" s="0" t="s">
        <v>1291</v>
      </c>
      <c r="B190" s="0" t="s">
        <v>1292</v>
      </c>
      <c r="C190" s="0" t="n">
        <v>0</v>
      </c>
      <c r="D190" s="0" t="n">
        <v>32</v>
      </c>
      <c r="E190" s="0" t="n">
        <v>1</v>
      </c>
      <c r="F190" s="0" t="n">
        <v>339</v>
      </c>
      <c r="G190" s="0" t="n">
        <v>0.00286892594584902</v>
      </c>
      <c r="H190" s="0" t="n">
        <v>0.6375404879089</v>
      </c>
      <c r="I190" s="0" t="n">
        <v>0.6375404879089</v>
      </c>
      <c r="J190" s="0" t="n">
        <v>1</v>
      </c>
      <c r="K190" s="0" t="n">
        <v>17</v>
      </c>
      <c r="L190" s="0" t="n">
        <v>0.00143061516452074</v>
      </c>
      <c r="M190" s="0" t="n">
        <v>9606</v>
      </c>
      <c r="N190" s="0" t="s">
        <v>709</v>
      </c>
      <c r="Q190" s="0" t="s">
        <v>297</v>
      </c>
      <c r="R190" s="0" t="s">
        <v>750</v>
      </c>
      <c r="S190" s="0" t="s">
        <v>1293</v>
      </c>
    </row>
    <row r="191" customFormat="false" ht="15" hidden="false" customHeight="false" outlineLevel="0" collapsed="false">
      <c r="A191" s="0" t="s">
        <v>1294</v>
      </c>
      <c r="B191" s="0" t="s">
        <v>1295</v>
      </c>
      <c r="C191" s="0" t="n">
        <v>0</v>
      </c>
      <c r="D191" s="0" t="n">
        <v>79</v>
      </c>
      <c r="E191" s="0" t="n">
        <v>1</v>
      </c>
      <c r="F191" s="0" t="n">
        <v>296</v>
      </c>
      <c r="G191" s="0" t="n">
        <v>0.00708266092881477</v>
      </c>
      <c r="H191" s="0" t="n">
        <v>0.6375404879089</v>
      </c>
      <c r="I191" s="0" t="n">
        <v>0.6375404879089</v>
      </c>
      <c r="J191" s="0" t="n">
        <v>1</v>
      </c>
      <c r="K191" s="0" t="n">
        <v>38</v>
      </c>
      <c r="L191" s="0" t="n">
        <v>0.00319784566186989</v>
      </c>
      <c r="M191" s="0" t="n">
        <v>9606</v>
      </c>
      <c r="N191" s="0" t="s">
        <v>709</v>
      </c>
      <c r="Q191" s="0" t="s">
        <v>579</v>
      </c>
      <c r="R191" s="0" t="s">
        <v>742</v>
      </c>
      <c r="S191" s="0" t="s">
        <v>1197</v>
      </c>
    </row>
    <row r="192" customFormat="false" ht="15" hidden="false" customHeight="false" outlineLevel="0" collapsed="false">
      <c r="A192" s="0" t="s">
        <v>1296</v>
      </c>
      <c r="B192" s="0" t="s">
        <v>1297</v>
      </c>
      <c r="C192" s="0" t="n">
        <v>1</v>
      </c>
      <c r="D192" s="0" t="n">
        <v>300</v>
      </c>
      <c r="E192" s="0" t="n">
        <v>1</v>
      </c>
      <c r="F192" s="0" t="n">
        <v>528</v>
      </c>
      <c r="G192" s="0" t="n">
        <v>0.0268961807423345</v>
      </c>
      <c r="H192" s="0" t="n">
        <v>0.639752010625136</v>
      </c>
      <c r="I192" s="0" t="n">
        <v>0.639752010625136</v>
      </c>
      <c r="J192" s="0" t="n">
        <v>5</v>
      </c>
      <c r="K192" s="0" t="n">
        <v>78</v>
      </c>
      <c r="L192" s="0" t="n">
        <v>0.006563998990154</v>
      </c>
      <c r="M192" s="0" t="n">
        <v>9606</v>
      </c>
      <c r="N192" s="0" t="s">
        <v>709</v>
      </c>
      <c r="O192" s="0" t="s">
        <v>547</v>
      </c>
      <c r="P192" s="0" t="s">
        <v>547</v>
      </c>
      <c r="Q192" s="0" t="s">
        <v>547</v>
      </c>
      <c r="R192" s="0" t="s">
        <v>749</v>
      </c>
      <c r="S192" s="0" t="s">
        <v>1188</v>
      </c>
    </row>
    <row r="193" customFormat="false" ht="15" hidden="false" customHeight="false" outlineLevel="0" collapsed="false">
      <c r="A193" s="0" t="s">
        <v>1298</v>
      </c>
      <c r="B193" s="0" t="s">
        <v>1299</v>
      </c>
      <c r="C193" s="0" t="n">
        <v>0</v>
      </c>
      <c r="D193" s="0" t="n">
        <v>92</v>
      </c>
      <c r="E193" s="0" t="n">
        <v>1</v>
      </c>
      <c r="F193" s="0" t="n">
        <v>296</v>
      </c>
      <c r="G193" s="0" t="n">
        <v>0.00824816209431594</v>
      </c>
      <c r="H193" s="0" t="n">
        <v>0.644680924206665</v>
      </c>
      <c r="I193" s="0" t="n">
        <v>0.644680924206665</v>
      </c>
      <c r="J193" s="0" t="n">
        <v>2</v>
      </c>
      <c r="K193" s="0" t="n">
        <v>37</v>
      </c>
      <c r="L193" s="0" t="n">
        <v>0.00311369182866279</v>
      </c>
      <c r="M193" s="0" t="n">
        <v>9606</v>
      </c>
      <c r="N193" s="0" t="s">
        <v>709</v>
      </c>
      <c r="Q193" s="0" t="s">
        <v>547</v>
      </c>
      <c r="R193" s="0" t="s">
        <v>1048</v>
      </c>
      <c r="S193" s="0" t="s">
        <v>1049</v>
      </c>
      <c r="T193" s="0" t="s">
        <v>1050</v>
      </c>
    </row>
    <row r="194" customFormat="false" ht="15" hidden="false" customHeight="false" outlineLevel="0" collapsed="false">
      <c r="A194" s="0" t="s">
        <v>1300</v>
      </c>
      <c r="B194" s="0" t="s">
        <v>1301</v>
      </c>
      <c r="C194" s="0" t="n">
        <v>0</v>
      </c>
      <c r="D194" s="0" t="n">
        <v>90</v>
      </c>
      <c r="E194" s="0" t="n">
        <v>1</v>
      </c>
      <c r="F194" s="0" t="n">
        <v>326</v>
      </c>
      <c r="G194" s="0" t="n">
        <v>0.00806885422270037</v>
      </c>
      <c r="H194" s="0" t="n">
        <v>0.659521403477659</v>
      </c>
      <c r="I194" s="0" t="n">
        <v>0.659521403477659</v>
      </c>
      <c r="J194" s="0" t="n">
        <v>2</v>
      </c>
      <c r="K194" s="0" t="n">
        <v>48</v>
      </c>
      <c r="L194" s="0" t="n">
        <v>0.00403938399394092</v>
      </c>
      <c r="M194" s="0" t="n">
        <v>9606</v>
      </c>
      <c r="N194" s="0" t="s">
        <v>709</v>
      </c>
      <c r="Q194" s="0" t="s">
        <v>579</v>
      </c>
      <c r="R194" s="0" t="s">
        <v>742</v>
      </c>
      <c r="S194" s="0" t="s">
        <v>1108</v>
      </c>
    </row>
    <row r="195" customFormat="false" ht="15" hidden="false" customHeight="false" outlineLevel="0" collapsed="false">
      <c r="A195" s="0" t="s">
        <v>1302</v>
      </c>
      <c r="B195" s="0" t="s">
        <v>1303</v>
      </c>
      <c r="C195" s="0" t="n">
        <v>0</v>
      </c>
      <c r="D195" s="0" t="n">
        <v>48</v>
      </c>
      <c r="E195" s="0" t="n">
        <v>1</v>
      </c>
      <c r="F195" s="0" t="n">
        <v>337</v>
      </c>
      <c r="G195" s="0" t="n">
        <v>0.00430338891877353</v>
      </c>
      <c r="H195" s="0" t="n">
        <v>0.661453716583001</v>
      </c>
      <c r="I195" s="0" t="n">
        <v>0.661453716583001</v>
      </c>
      <c r="J195" s="0" t="n">
        <v>1</v>
      </c>
      <c r="K195" s="0" t="n">
        <v>47</v>
      </c>
      <c r="L195" s="0" t="n">
        <v>0.00395523016073382</v>
      </c>
      <c r="M195" s="0" t="n">
        <v>9606</v>
      </c>
      <c r="N195" s="0" t="s">
        <v>709</v>
      </c>
      <c r="Q195" s="0" t="s">
        <v>564</v>
      </c>
      <c r="R195" s="0" t="s">
        <v>1057</v>
      </c>
      <c r="S195" s="0" t="s">
        <v>1304</v>
      </c>
    </row>
    <row r="196" customFormat="false" ht="15" hidden="false" customHeight="false" outlineLevel="0" collapsed="false">
      <c r="A196" s="0" t="s">
        <v>1305</v>
      </c>
      <c r="B196" s="0" t="s">
        <v>1306</v>
      </c>
      <c r="C196" s="0" t="n">
        <v>1</v>
      </c>
      <c r="D196" s="0" t="n">
        <v>186</v>
      </c>
      <c r="E196" s="0" t="n">
        <v>0</v>
      </c>
      <c r="F196" s="0" t="n">
        <v>225</v>
      </c>
      <c r="G196" s="0" t="n">
        <v>0.0166756320602474</v>
      </c>
      <c r="H196" s="0" t="n">
        <v>0.664332077492042</v>
      </c>
      <c r="I196" s="0" t="n">
        <v>0.664332077492042</v>
      </c>
      <c r="J196" s="0" t="n">
        <v>11</v>
      </c>
      <c r="K196" s="0" t="n">
        <v>59</v>
      </c>
      <c r="L196" s="0" t="n">
        <v>0.00496507615921905</v>
      </c>
      <c r="M196" s="0" t="n">
        <v>9606</v>
      </c>
      <c r="N196" s="0" t="s">
        <v>709</v>
      </c>
      <c r="O196" s="0" t="s">
        <v>564</v>
      </c>
      <c r="P196" s="0" t="s">
        <v>564</v>
      </c>
      <c r="S196" s="0" t="s">
        <v>1285</v>
      </c>
    </row>
    <row r="197" customFormat="false" ht="15" hidden="false" customHeight="false" outlineLevel="0" collapsed="false">
      <c r="A197" s="0" t="s">
        <v>1307</v>
      </c>
      <c r="B197" s="0" t="s">
        <v>1308</v>
      </c>
      <c r="C197" s="0" t="n">
        <v>0</v>
      </c>
      <c r="D197" s="0" t="n">
        <v>50</v>
      </c>
      <c r="E197" s="0" t="n">
        <v>1</v>
      </c>
      <c r="F197" s="0" t="n">
        <v>341</v>
      </c>
      <c r="G197" s="0" t="n">
        <v>0.00448269679038909</v>
      </c>
      <c r="H197" s="0" t="n">
        <v>0.664332077492042</v>
      </c>
      <c r="I197" s="0" t="n">
        <v>0.664332077492042</v>
      </c>
      <c r="J197" s="0" t="n">
        <v>1</v>
      </c>
      <c r="K197" s="0" t="n">
        <v>53</v>
      </c>
      <c r="L197" s="0" t="n">
        <v>0.00446015315997643</v>
      </c>
      <c r="M197" s="0" t="n">
        <v>9606</v>
      </c>
      <c r="N197" s="0" t="s">
        <v>709</v>
      </c>
      <c r="Q197" s="0" t="s">
        <v>564</v>
      </c>
      <c r="R197" s="0" t="s">
        <v>1057</v>
      </c>
      <c r="S197" s="0" t="s">
        <v>1304</v>
      </c>
    </row>
    <row r="198" customFormat="false" ht="15" hidden="false" customHeight="false" outlineLevel="0" collapsed="false">
      <c r="A198" s="0" t="s">
        <v>1309</v>
      </c>
      <c r="B198" s="0" t="s">
        <v>1310</v>
      </c>
      <c r="C198" s="0" t="n">
        <v>0</v>
      </c>
      <c r="D198" s="0" t="n">
        <v>85</v>
      </c>
      <c r="E198" s="0" t="n">
        <v>1</v>
      </c>
      <c r="F198" s="0" t="n">
        <v>350</v>
      </c>
      <c r="G198" s="0" t="n">
        <v>0.00762058454366146</v>
      </c>
      <c r="H198" s="0" t="n">
        <v>0.672824204059624</v>
      </c>
      <c r="I198" s="0" t="n">
        <v>0.672824204059624</v>
      </c>
      <c r="J198" s="0" t="n">
        <v>2</v>
      </c>
      <c r="K198" s="0" t="n">
        <v>58</v>
      </c>
      <c r="L198" s="0" t="n">
        <v>0.00488092232601194</v>
      </c>
      <c r="M198" s="0" t="n">
        <v>9606</v>
      </c>
      <c r="N198" s="0" t="s">
        <v>709</v>
      </c>
      <c r="Q198" s="0" t="s">
        <v>579</v>
      </c>
      <c r="R198" s="0" t="s">
        <v>742</v>
      </c>
      <c r="S198" s="0" t="s">
        <v>1108</v>
      </c>
    </row>
    <row r="199" customFormat="false" ht="15" hidden="false" customHeight="false" outlineLevel="0" collapsed="false">
      <c r="A199" s="0" t="s">
        <v>1311</v>
      </c>
      <c r="B199" s="0" t="s">
        <v>1312</v>
      </c>
      <c r="C199" s="0" t="n">
        <v>0</v>
      </c>
      <c r="D199" s="0" t="n">
        <v>61</v>
      </c>
      <c r="E199" s="0" t="n">
        <v>1</v>
      </c>
      <c r="F199" s="0" t="n">
        <v>345</v>
      </c>
      <c r="G199" s="0" t="n">
        <v>0.0054688900842747</v>
      </c>
      <c r="H199" s="0" t="n">
        <v>0.672824204059624</v>
      </c>
      <c r="I199" s="0" t="n">
        <v>0.672824204059624</v>
      </c>
      <c r="J199" s="0" t="n">
        <v>1</v>
      </c>
      <c r="K199" s="0" t="n">
        <v>77</v>
      </c>
      <c r="L199" s="0" t="n">
        <v>0.00647984515694689</v>
      </c>
      <c r="M199" s="0" t="n">
        <v>9606</v>
      </c>
      <c r="N199" s="0" t="s">
        <v>709</v>
      </c>
      <c r="Q199" s="0" t="s">
        <v>579</v>
      </c>
      <c r="R199" s="0" t="s">
        <v>1003</v>
      </c>
      <c r="S199" s="0" t="s">
        <v>1004</v>
      </c>
    </row>
    <row r="200" customFormat="false" ht="15" hidden="false" customHeight="false" outlineLevel="0" collapsed="false">
      <c r="A200" s="0" t="s">
        <v>1313</v>
      </c>
      <c r="B200" s="0" t="s">
        <v>1314</v>
      </c>
      <c r="C200" s="0" t="n">
        <v>0</v>
      </c>
      <c r="D200" s="0" t="n">
        <v>85</v>
      </c>
      <c r="E200" s="0" t="n">
        <v>1</v>
      </c>
      <c r="F200" s="0" t="n">
        <v>351</v>
      </c>
      <c r="G200" s="0" t="n">
        <v>0.00762058454366146</v>
      </c>
      <c r="H200" s="0" t="n">
        <v>0.67375469250416</v>
      </c>
      <c r="I200" s="0" t="n">
        <v>0.67375469250416</v>
      </c>
      <c r="J200" s="0" t="n">
        <v>2</v>
      </c>
      <c r="K200" s="0" t="n">
        <v>59</v>
      </c>
      <c r="L200" s="0" t="n">
        <v>0.00496507615921905</v>
      </c>
      <c r="M200" s="0" t="n">
        <v>9606</v>
      </c>
      <c r="N200" s="0" t="s">
        <v>709</v>
      </c>
      <c r="Q200" s="0" t="s">
        <v>579</v>
      </c>
      <c r="R200" s="0" t="s">
        <v>742</v>
      </c>
      <c r="S200" s="0" t="s">
        <v>1108</v>
      </c>
    </row>
    <row r="201" customFormat="false" ht="15" hidden="false" customHeight="false" outlineLevel="0" collapsed="false">
      <c r="A201" s="0" t="s">
        <v>1315</v>
      </c>
      <c r="B201" s="0" t="s">
        <v>1316</v>
      </c>
      <c r="C201" s="0" t="n">
        <v>0</v>
      </c>
      <c r="D201" s="0" t="n">
        <v>85</v>
      </c>
      <c r="E201" s="0" t="n">
        <v>1</v>
      </c>
      <c r="F201" s="0" t="n">
        <v>352</v>
      </c>
      <c r="G201" s="0" t="n">
        <v>0.00762058454366146</v>
      </c>
      <c r="H201" s="0" t="n">
        <v>0.67375469250416</v>
      </c>
      <c r="I201" s="0" t="n">
        <v>0.67375469250416</v>
      </c>
      <c r="J201" s="0" t="n">
        <v>2</v>
      </c>
      <c r="K201" s="0" t="n">
        <v>59</v>
      </c>
      <c r="L201" s="0" t="n">
        <v>0.00496507615921905</v>
      </c>
      <c r="M201" s="0" t="n">
        <v>9606</v>
      </c>
      <c r="N201" s="0" t="s">
        <v>709</v>
      </c>
      <c r="Q201" s="0" t="s">
        <v>579</v>
      </c>
      <c r="R201" s="0" t="s">
        <v>742</v>
      </c>
      <c r="S201" s="0" t="s">
        <v>1108</v>
      </c>
    </row>
    <row r="202" customFormat="false" ht="15" hidden="false" customHeight="false" outlineLevel="0" collapsed="false">
      <c r="A202" s="0" t="s">
        <v>1317</v>
      </c>
      <c r="B202" s="0" t="s">
        <v>1318</v>
      </c>
      <c r="C202" s="0" t="n">
        <v>0</v>
      </c>
      <c r="D202" s="0" t="n">
        <v>37</v>
      </c>
      <c r="E202" s="0" t="n">
        <v>1</v>
      </c>
      <c r="F202" s="0" t="n">
        <v>377</v>
      </c>
      <c r="G202" s="0" t="n">
        <v>0.00331719562488793</v>
      </c>
      <c r="H202" s="0" t="n">
        <v>0.68291827569918</v>
      </c>
      <c r="I202" s="0" t="n">
        <v>0.68291827569918</v>
      </c>
      <c r="J202" s="0" t="n">
        <v>1</v>
      </c>
      <c r="K202" s="0" t="n">
        <v>8</v>
      </c>
      <c r="L202" s="46" t="n">
        <v>0.00067323066565682</v>
      </c>
      <c r="M202" s="0" t="n">
        <v>9606</v>
      </c>
      <c r="N202" s="0" t="s">
        <v>709</v>
      </c>
      <c r="Q202" s="0" t="s">
        <v>566</v>
      </c>
      <c r="R202" s="0" t="s">
        <v>916</v>
      </c>
      <c r="S202" s="0" t="s">
        <v>1319</v>
      </c>
    </row>
    <row r="203" customFormat="false" ht="15" hidden="false" customHeight="false" outlineLevel="0" collapsed="false">
      <c r="A203" s="0" t="s">
        <v>1320</v>
      </c>
      <c r="B203" s="0" t="s">
        <v>1321</v>
      </c>
      <c r="C203" s="0" t="n">
        <v>0</v>
      </c>
      <c r="D203" s="0" t="n">
        <v>60</v>
      </c>
      <c r="E203" s="0" t="n">
        <v>1</v>
      </c>
      <c r="F203" s="0" t="n">
        <v>374</v>
      </c>
      <c r="G203" s="0" t="n">
        <v>0.00537923614846691</v>
      </c>
      <c r="H203" s="0" t="n">
        <v>0.683820657229548</v>
      </c>
      <c r="I203" s="0" t="n">
        <v>0.683820657229548</v>
      </c>
      <c r="J203" s="0" t="n">
        <v>2</v>
      </c>
      <c r="K203" s="0" t="n">
        <v>43</v>
      </c>
      <c r="L203" s="0" t="n">
        <v>0.00361861482790541</v>
      </c>
      <c r="M203" s="0" t="n">
        <v>9606</v>
      </c>
      <c r="N203" s="0" t="s">
        <v>709</v>
      </c>
      <c r="Q203" s="0" t="s">
        <v>547</v>
      </c>
      <c r="R203" s="0" t="s">
        <v>815</v>
      </c>
      <c r="S203" s="0" t="s">
        <v>1077</v>
      </c>
    </row>
    <row r="204" customFormat="false" ht="15" hidden="false" customHeight="false" outlineLevel="0" collapsed="false">
      <c r="A204" s="0" t="s">
        <v>1322</v>
      </c>
      <c r="B204" s="0" t="s">
        <v>1323</v>
      </c>
      <c r="C204" s="0" t="n">
        <v>1</v>
      </c>
      <c r="D204" s="0" t="n">
        <v>266</v>
      </c>
      <c r="E204" s="0" t="n">
        <v>0</v>
      </c>
      <c r="F204" s="0" t="n">
        <v>174</v>
      </c>
      <c r="G204" s="0" t="n">
        <v>0.02384794692487</v>
      </c>
      <c r="H204" s="0" t="n">
        <v>0.684720525164</v>
      </c>
      <c r="I204" s="0" t="n">
        <v>0.684720525164</v>
      </c>
      <c r="J204" s="0" t="n">
        <v>4</v>
      </c>
      <c r="K204" s="0" t="n">
        <v>46</v>
      </c>
      <c r="L204" s="0" t="n">
        <v>0.00387107632752671</v>
      </c>
      <c r="M204" s="0" t="n">
        <v>9606</v>
      </c>
      <c r="N204" s="0" t="s">
        <v>709</v>
      </c>
      <c r="O204" s="0" t="s">
        <v>547</v>
      </c>
      <c r="P204" s="0" t="s">
        <v>547</v>
      </c>
      <c r="S204" s="0" t="s">
        <v>978</v>
      </c>
    </row>
    <row r="205" customFormat="false" ht="15" hidden="false" customHeight="false" outlineLevel="0" collapsed="false">
      <c r="A205" s="0" t="s">
        <v>1324</v>
      </c>
      <c r="B205" s="0" t="s">
        <v>1325</v>
      </c>
      <c r="C205" s="0" t="n">
        <v>0</v>
      </c>
      <c r="D205" s="0" t="n">
        <v>91</v>
      </c>
      <c r="E205" s="0" t="n">
        <v>1</v>
      </c>
      <c r="F205" s="0" t="n">
        <v>359</v>
      </c>
      <c r="G205" s="0" t="n">
        <v>0.00815850815850815</v>
      </c>
      <c r="H205" s="0" t="n">
        <v>0.685617886352396</v>
      </c>
      <c r="I205" s="0" t="n">
        <v>0.685617886352396</v>
      </c>
      <c r="J205" s="0" t="n">
        <v>2</v>
      </c>
      <c r="K205" s="0" t="n">
        <v>63</v>
      </c>
      <c r="L205" s="0" t="n">
        <v>0.00530169149204746</v>
      </c>
      <c r="M205" s="0" t="n">
        <v>9606</v>
      </c>
      <c r="N205" s="0" t="s">
        <v>709</v>
      </c>
      <c r="Q205" s="0" t="s">
        <v>579</v>
      </c>
      <c r="R205" s="0" t="s">
        <v>742</v>
      </c>
      <c r="S205" s="0" t="s">
        <v>1108</v>
      </c>
    </row>
    <row r="206" customFormat="false" ht="15" hidden="false" customHeight="false" outlineLevel="0" collapsed="false">
      <c r="A206" s="0" t="s">
        <v>1326</v>
      </c>
      <c r="B206" s="0" t="s">
        <v>1327</v>
      </c>
      <c r="C206" s="0" t="n">
        <v>0</v>
      </c>
      <c r="D206" s="0" t="n">
        <v>91</v>
      </c>
      <c r="E206" s="0" t="n">
        <v>1</v>
      </c>
      <c r="F206" s="0" t="n">
        <v>359</v>
      </c>
      <c r="G206" s="0" t="n">
        <v>0.00815850815850815</v>
      </c>
      <c r="H206" s="0" t="n">
        <v>0.685617886352396</v>
      </c>
      <c r="I206" s="0" t="n">
        <v>0.685617886352396</v>
      </c>
      <c r="J206" s="0" t="n">
        <v>2</v>
      </c>
      <c r="K206" s="0" t="n">
        <v>64</v>
      </c>
      <c r="L206" s="0" t="n">
        <v>0.00538584532525456</v>
      </c>
      <c r="M206" s="0" t="n">
        <v>9606</v>
      </c>
      <c r="N206" s="0" t="s">
        <v>709</v>
      </c>
      <c r="Q206" s="0" t="s">
        <v>579</v>
      </c>
      <c r="R206" s="0" t="s">
        <v>742</v>
      </c>
      <c r="S206" s="0" t="s">
        <v>1108</v>
      </c>
    </row>
    <row r="207" customFormat="false" ht="15" hidden="false" customHeight="false" outlineLevel="0" collapsed="false">
      <c r="A207" s="0" t="s">
        <v>1328</v>
      </c>
      <c r="B207" s="0" t="s">
        <v>1329</v>
      </c>
      <c r="C207" s="0" t="n">
        <v>0</v>
      </c>
      <c r="D207" s="0" t="n">
        <v>95</v>
      </c>
      <c r="E207" s="0" t="n">
        <v>1</v>
      </c>
      <c r="F207" s="0" t="n">
        <v>362</v>
      </c>
      <c r="G207" s="0" t="n">
        <v>0.00851712390173928</v>
      </c>
      <c r="H207" s="0" t="n">
        <v>0.691829797348689</v>
      </c>
      <c r="I207" s="0" t="n">
        <v>0.691829797348689</v>
      </c>
      <c r="J207" s="0" t="n">
        <v>2</v>
      </c>
      <c r="K207" s="0" t="n">
        <v>67</v>
      </c>
      <c r="L207" s="0" t="n">
        <v>0.00563830682487587</v>
      </c>
      <c r="M207" s="0" t="n">
        <v>9606</v>
      </c>
      <c r="N207" s="0" t="s">
        <v>709</v>
      </c>
      <c r="Q207" s="0" t="s">
        <v>579</v>
      </c>
      <c r="R207" s="0" t="s">
        <v>742</v>
      </c>
      <c r="S207" s="0" t="s">
        <v>1108</v>
      </c>
    </row>
    <row r="208" customFormat="false" ht="15" hidden="false" customHeight="false" outlineLevel="0" collapsed="false">
      <c r="A208" s="0" t="s">
        <v>1330</v>
      </c>
      <c r="B208" s="0" t="s">
        <v>1331</v>
      </c>
      <c r="C208" s="0" t="n">
        <v>1</v>
      </c>
      <c r="D208" s="0" t="n">
        <v>219</v>
      </c>
      <c r="E208" s="0" t="n">
        <v>0</v>
      </c>
      <c r="F208" s="0" t="n">
        <v>210</v>
      </c>
      <c r="G208" s="0" t="n">
        <v>0.0196342119419042</v>
      </c>
      <c r="H208" s="0" t="n">
        <v>0.6927073489832</v>
      </c>
      <c r="I208" s="0" t="n">
        <v>0.6927073489832</v>
      </c>
      <c r="J208" s="0" t="n">
        <v>3</v>
      </c>
      <c r="K208" s="0" t="n">
        <v>35</v>
      </c>
      <c r="L208" s="0" t="n">
        <v>0.00294538416224859</v>
      </c>
      <c r="M208" s="0" t="n">
        <v>9606</v>
      </c>
      <c r="N208" s="0" t="s">
        <v>709</v>
      </c>
      <c r="O208" s="0" t="s">
        <v>570</v>
      </c>
      <c r="P208" s="0" t="s">
        <v>570</v>
      </c>
      <c r="S208" s="0" t="s">
        <v>1332</v>
      </c>
    </row>
    <row r="209" customFormat="false" ht="15" hidden="false" customHeight="false" outlineLevel="0" collapsed="false">
      <c r="A209" s="0" t="s">
        <v>1333</v>
      </c>
      <c r="B209" s="0" t="s">
        <v>1334</v>
      </c>
      <c r="C209" s="0" t="n">
        <v>0</v>
      </c>
      <c r="D209" s="0" t="n">
        <v>86</v>
      </c>
      <c r="E209" s="0" t="n">
        <v>1</v>
      </c>
      <c r="F209" s="0" t="n">
        <v>344</v>
      </c>
      <c r="G209" s="0" t="n">
        <v>0.00771023847946924</v>
      </c>
      <c r="H209" s="0" t="n">
        <v>0.694455121182618</v>
      </c>
      <c r="I209" s="0" t="n">
        <v>0.694455121182618</v>
      </c>
      <c r="J209" s="0" t="n">
        <v>1</v>
      </c>
      <c r="K209" s="0" t="n">
        <v>66</v>
      </c>
      <c r="L209" s="0" t="n">
        <v>0.00555415299166877</v>
      </c>
      <c r="M209" s="0" t="n">
        <v>9606</v>
      </c>
      <c r="N209" s="0" t="s">
        <v>709</v>
      </c>
      <c r="Q209" s="0" t="s">
        <v>569</v>
      </c>
      <c r="R209" s="0" t="s">
        <v>930</v>
      </c>
      <c r="S209" s="0" t="s">
        <v>1335</v>
      </c>
    </row>
    <row r="210" customFormat="false" ht="15" hidden="false" customHeight="false" outlineLevel="0" collapsed="false">
      <c r="A210" s="0" t="s">
        <v>1336</v>
      </c>
      <c r="B210" s="0" t="s">
        <v>1337</v>
      </c>
      <c r="C210" s="0" t="n">
        <v>0</v>
      </c>
      <c r="D210" s="0" t="n">
        <v>96</v>
      </c>
      <c r="E210" s="0" t="n">
        <v>1</v>
      </c>
      <c r="F210" s="0" t="n">
        <v>377</v>
      </c>
      <c r="G210" s="0" t="n">
        <v>0.00860677783754706</v>
      </c>
      <c r="H210" s="0" t="n">
        <v>0.702200445217598</v>
      </c>
      <c r="I210" s="0" t="n">
        <v>0.702200445217598</v>
      </c>
      <c r="J210" s="0" t="n">
        <v>2</v>
      </c>
      <c r="K210" s="0" t="n">
        <v>64</v>
      </c>
      <c r="L210" s="0" t="n">
        <v>0.00538584532525456</v>
      </c>
      <c r="M210" s="0" t="n">
        <v>9606</v>
      </c>
      <c r="N210" s="0" t="s">
        <v>709</v>
      </c>
      <c r="Q210" s="0" t="s">
        <v>579</v>
      </c>
      <c r="R210" s="0" t="s">
        <v>742</v>
      </c>
      <c r="S210" s="0" t="s">
        <v>1108</v>
      </c>
    </row>
    <row r="211" customFormat="false" ht="15" hidden="false" customHeight="false" outlineLevel="0" collapsed="false">
      <c r="A211" s="0" t="s">
        <v>1338</v>
      </c>
      <c r="B211" s="0" t="s">
        <v>1339</v>
      </c>
      <c r="C211" s="0" t="n">
        <v>0</v>
      </c>
      <c r="D211" s="0" t="n">
        <v>93</v>
      </c>
      <c r="E211" s="0" t="n">
        <v>1</v>
      </c>
      <c r="F211" s="0" t="n">
        <v>387</v>
      </c>
      <c r="G211" s="0" t="n">
        <v>0.00833781603012372</v>
      </c>
      <c r="H211" s="0" t="n">
        <v>0.704739261466006</v>
      </c>
      <c r="I211" s="0" t="n">
        <v>0.704739261466006</v>
      </c>
      <c r="J211" s="0" t="n">
        <v>2</v>
      </c>
      <c r="K211" s="0" t="n">
        <v>61</v>
      </c>
      <c r="L211" s="0" t="n">
        <v>0.00513338382563325</v>
      </c>
      <c r="M211" s="0" t="n">
        <v>9606</v>
      </c>
      <c r="N211" s="0" t="s">
        <v>709</v>
      </c>
      <c r="Q211" s="0" t="s">
        <v>579</v>
      </c>
      <c r="R211" s="0" t="s">
        <v>742</v>
      </c>
      <c r="S211" s="0" t="s">
        <v>1108</v>
      </c>
    </row>
    <row r="212" customFormat="false" ht="15" hidden="false" customHeight="false" outlineLevel="0" collapsed="false">
      <c r="A212" s="0" t="s">
        <v>1340</v>
      </c>
      <c r="B212" s="0" t="s">
        <v>1341</v>
      </c>
      <c r="C212" s="0" t="n">
        <v>0</v>
      </c>
      <c r="D212" s="0" t="n">
        <v>99</v>
      </c>
      <c r="E212" s="0" t="n">
        <v>1</v>
      </c>
      <c r="F212" s="0" t="n">
        <v>378</v>
      </c>
      <c r="G212" s="0" t="n">
        <v>0.00887573964497041</v>
      </c>
      <c r="H212" s="0" t="n">
        <v>0.705580816669609</v>
      </c>
      <c r="I212" s="0" t="n">
        <v>0.705580816669609</v>
      </c>
      <c r="J212" s="0" t="n">
        <v>2</v>
      </c>
      <c r="K212" s="0" t="n">
        <v>66</v>
      </c>
      <c r="L212" s="0" t="n">
        <v>0.00555415299166877</v>
      </c>
      <c r="M212" s="0" t="n">
        <v>9606</v>
      </c>
      <c r="N212" s="0" t="s">
        <v>709</v>
      </c>
      <c r="Q212" s="0" t="s">
        <v>579</v>
      </c>
      <c r="R212" s="0" t="s">
        <v>742</v>
      </c>
      <c r="S212" s="0" t="s">
        <v>1108</v>
      </c>
    </row>
    <row r="213" customFormat="false" ht="15" hidden="false" customHeight="false" outlineLevel="0" collapsed="false">
      <c r="A213" s="0" t="s">
        <v>1342</v>
      </c>
      <c r="B213" s="0" t="s">
        <v>1343</v>
      </c>
      <c r="C213" s="0" t="n">
        <v>0</v>
      </c>
      <c r="D213" s="0" t="n">
        <v>96</v>
      </c>
      <c r="E213" s="0" t="n">
        <v>1</v>
      </c>
      <c r="F213" s="0" t="n">
        <v>381</v>
      </c>
      <c r="G213" s="0" t="n">
        <v>0.00860677783754706</v>
      </c>
      <c r="H213" s="0" t="n">
        <v>0.705580816669609</v>
      </c>
      <c r="I213" s="0" t="n">
        <v>0.705580816669609</v>
      </c>
      <c r="J213" s="0" t="n">
        <v>2</v>
      </c>
      <c r="K213" s="0" t="n">
        <v>66</v>
      </c>
      <c r="L213" s="0" t="n">
        <v>0.00555415299166877</v>
      </c>
      <c r="M213" s="0" t="n">
        <v>9606</v>
      </c>
      <c r="N213" s="0" t="s">
        <v>709</v>
      </c>
      <c r="Q213" s="0" t="s">
        <v>579</v>
      </c>
      <c r="R213" s="0" t="s">
        <v>742</v>
      </c>
      <c r="S213" s="0" t="s">
        <v>1108</v>
      </c>
    </row>
    <row r="214" customFormat="false" ht="15" hidden="false" customHeight="false" outlineLevel="0" collapsed="false">
      <c r="A214" s="0" t="s">
        <v>1344</v>
      </c>
      <c r="B214" s="0" t="s">
        <v>1345</v>
      </c>
      <c r="C214" s="0" t="n">
        <v>0</v>
      </c>
      <c r="D214" s="0" t="n">
        <v>99</v>
      </c>
      <c r="E214" s="0" t="n">
        <v>1</v>
      </c>
      <c r="F214" s="0" t="n">
        <v>381</v>
      </c>
      <c r="G214" s="0" t="n">
        <v>0.00887573964497041</v>
      </c>
      <c r="H214" s="0" t="n">
        <v>0.708091421588458</v>
      </c>
      <c r="I214" s="0" t="n">
        <v>0.708091421588458</v>
      </c>
      <c r="J214" s="0" t="n">
        <v>2</v>
      </c>
      <c r="K214" s="0" t="n">
        <v>68</v>
      </c>
      <c r="L214" s="0" t="n">
        <v>0.00572246065808297</v>
      </c>
      <c r="M214" s="0" t="n">
        <v>9606</v>
      </c>
      <c r="N214" s="0" t="s">
        <v>709</v>
      </c>
      <c r="Q214" s="0" t="s">
        <v>579</v>
      </c>
      <c r="R214" s="0" t="s">
        <v>742</v>
      </c>
      <c r="S214" s="0" t="s">
        <v>1108</v>
      </c>
    </row>
    <row r="215" customFormat="false" ht="15" hidden="false" customHeight="false" outlineLevel="0" collapsed="false">
      <c r="A215" s="0" t="s">
        <v>1346</v>
      </c>
      <c r="B215" s="0" t="s">
        <v>1347</v>
      </c>
      <c r="C215" s="0" t="n">
        <v>0</v>
      </c>
      <c r="D215" s="0" t="n">
        <v>96</v>
      </c>
      <c r="E215" s="0" t="n">
        <v>1</v>
      </c>
      <c r="F215" s="0" t="n">
        <v>369</v>
      </c>
      <c r="G215" s="0" t="n">
        <v>0.00860677783754706</v>
      </c>
      <c r="H215" s="0" t="n">
        <v>0.709753504819459</v>
      </c>
      <c r="I215" s="0" t="n">
        <v>0.709753504819459</v>
      </c>
      <c r="J215" s="0" t="n">
        <v>1</v>
      </c>
      <c r="K215" s="0" t="n">
        <v>47</v>
      </c>
      <c r="L215" s="0" t="n">
        <v>0.00395523016073382</v>
      </c>
      <c r="M215" s="0" t="n">
        <v>9606</v>
      </c>
      <c r="N215" s="0" t="s">
        <v>709</v>
      </c>
      <c r="Q215" s="0" t="s">
        <v>547</v>
      </c>
      <c r="R215" s="0" t="s">
        <v>924</v>
      </c>
      <c r="S215" s="0" t="s">
        <v>925</v>
      </c>
    </row>
    <row r="216" customFormat="false" ht="15" hidden="false" customHeight="false" outlineLevel="0" collapsed="false">
      <c r="A216" s="0" t="s">
        <v>1348</v>
      </c>
      <c r="B216" s="0" t="s">
        <v>1349</v>
      </c>
      <c r="C216" s="0" t="n">
        <v>0</v>
      </c>
      <c r="D216" s="0" t="n">
        <v>84</v>
      </c>
      <c r="E216" s="0" t="n">
        <v>1</v>
      </c>
      <c r="F216" s="0" t="n">
        <v>395</v>
      </c>
      <c r="G216" s="0" t="n">
        <v>0.00753093060785368</v>
      </c>
      <c r="H216" s="0" t="n">
        <v>0.721927320629409</v>
      </c>
      <c r="I216" s="0" t="n">
        <v>0.721927320629409</v>
      </c>
      <c r="J216" s="0" t="n">
        <v>2</v>
      </c>
      <c r="K216" s="0" t="n">
        <v>18</v>
      </c>
      <c r="L216" s="0" t="n">
        <v>0.00151476899772784</v>
      </c>
      <c r="M216" s="0" t="n">
        <v>9606</v>
      </c>
      <c r="N216" s="0" t="s">
        <v>709</v>
      </c>
      <c r="Q216" s="0" t="s">
        <v>579</v>
      </c>
      <c r="R216" s="0" t="s">
        <v>1003</v>
      </c>
      <c r="S216" s="0" t="s">
        <v>1350</v>
      </c>
    </row>
    <row r="217" customFormat="false" ht="15" hidden="false" customHeight="false" outlineLevel="0" collapsed="false">
      <c r="A217" s="0" t="s">
        <v>1351</v>
      </c>
      <c r="B217" s="0" t="s">
        <v>1352</v>
      </c>
      <c r="C217" s="0" t="n">
        <v>1</v>
      </c>
      <c r="D217" s="0" t="n">
        <v>212</v>
      </c>
      <c r="E217" s="0" t="n">
        <v>0</v>
      </c>
      <c r="F217" s="0" t="n">
        <v>258</v>
      </c>
      <c r="G217" s="0" t="n">
        <v>0.0190066343912497</v>
      </c>
      <c r="H217" s="0" t="n">
        <v>0.726655648584239</v>
      </c>
      <c r="I217" s="0" t="n">
        <v>0.726655648584239</v>
      </c>
      <c r="J217" s="0" t="n">
        <v>1</v>
      </c>
      <c r="K217" s="0" t="n">
        <v>205</v>
      </c>
      <c r="L217" s="0" t="n">
        <v>0.017251535807456</v>
      </c>
      <c r="M217" s="0" t="n">
        <v>9606</v>
      </c>
      <c r="N217" s="0" t="s">
        <v>709</v>
      </c>
      <c r="O217" s="0" t="s">
        <v>551</v>
      </c>
      <c r="P217" s="0" t="s">
        <v>551</v>
      </c>
      <c r="S217" s="0" t="s">
        <v>956</v>
      </c>
    </row>
    <row r="218" customFormat="false" ht="15" hidden="false" customHeight="false" outlineLevel="0" collapsed="false">
      <c r="A218" s="0" t="s">
        <v>1353</v>
      </c>
      <c r="B218" s="0" t="s">
        <v>1354</v>
      </c>
      <c r="C218" s="0" t="n">
        <v>0</v>
      </c>
      <c r="D218" s="0" t="n">
        <v>97</v>
      </c>
      <c r="E218" s="0" t="n">
        <v>1</v>
      </c>
      <c r="F218" s="0" t="n">
        <v>416</v>
      </c>
      <c r="G218" s="0" t="n">
        <v>0.00869643177335485</v>
      </c>
      <c r="H218" s="0" t="n">
        <v>0.732072630707594</v>
      </c>
      <c r="I218" s="0" t="n">
        <v>0.732072630707594</v>
      </c>
      <c r="J218" s="0" t="n">
        <v>2</v>
      </c>
      <c r="K218" s="0" t="n">
        <v>58</v>
      </c>
      <c r="L218" s="0" t="n">
        <v>0.00488092232601194</v>
      </c>
      <c r="M218" s="0" t="n">
        <v>9606</v>
      </c>
      <c r="N218" s="0" t="s">
        <v>709</v>
      </c>
      <c r="Q218" s="0" t="s">
        <v>579</v>
      </c>
      <c r="R218" s="0" t="s">
        <v>742</v>
      </c>
      <c r="S218" s="0" t="s">
        <v>1108</v>
      </c>
    </row>
    <row r="219" customFormat="false" ht="15" hidden="false" customHeight="false" outlineLevel="0" collapsed="false">
      <c r="A219" s="0" t="s">
        <v>1355</v>
      </c>
      <c r="B219" s="0" t="s">
        <v>1356</v>
      </c>
      <c r="C219" s="0" t="n">
        <v>0</v>
      </c>
      <c r="D219" s="0" t="n">
        <v>97</v>
      </c>
      <c r="E219" s="0" t="n">
        <v>1</v>
      </c>
      <c r="F219" s="0" t="n">
        <v>416</v>
      </c>
      <c r="G219" s="0" t="n">
        <v>0.00869643177335485</v>
      </c>
      <c r="H219" s="0" t="n">
        <v>0.732072630707594</v>
      </c>
      <c r="I219" s="0" t="n">
        <v>0.732072630707594</v>
      </c>
      <c r="J219" s="0" t="n">
        <v>2</v>
      </c>
      <c r="K219" s="0" t="n">
        <v>60</v>
      </c>
      <c r="L219" s="0" t="n">
        <v>0.00504922999242615</v>
      </c>
      <c r="M219" s="0" t="n">
        <v>9606</v>
      </c>
      <c r="N219" s="0" t="s">
        <v>709</v>
      </c>
      <c r="Q219" s="0" t="s">
        <v>579</v>
      </c>
      <c r="R219" s="0" t="s">
        <v>742</v>
      </c>
      <c r="S219" s="0" t="s">
        <v>1108</v>
      </c>
    </row>
    <row r="220" customFormat="false" ht="15" hidden="false" customHeight="false" outlineLevel="0" collapsed="false">
      <c r="A220" s="0" t="s">
        <v>1357</v>
      </c>
      <c r="B220" s="0" t="s">
        <v>1358</v>
      </c>
      <c r="C220" s="0" t="n">
        <v>1</v>
      </c>
      <c r="D220" s="0" t="n">
        <v>89</v>
      </c>
      <c r="E220" s="0" t="n">
        <v>0</v>
      </c>
      <c r="F220" s="0" t="n">
        <v>398</v>
      </c>
      <c r="G220" s="0" t="n">
        <v>0.00797920028689259</v>
      </c>
      <c r="H220" s="0" t="n">
        <v>0.735877432893222</v>
      </c>
      <c r="I220" s="0" t="n">
        <v>0.735877432893222</v>
      </c>
      <c r="J220" s="0" t="n">
        <v>1</v>
      </c>
      <c r="K220" s="0" t="n">
        <v>62</v>
      </c>
      <c r="L220" s="0" t="n">
        <v>0.00521753765884036</v>
      </c>
      <c r="M220" s="0" t="n">
        <v>9606</v>
      </c>
      <c r="N220" s="0" t="s">
        <v>709</v>
      </c>
      <c r="O220" s="0" t="s">
        <v>551</v>
      </c>
      <c r="P220" s="0" t="s">
        <v>551</v>
      </c>
      <c r="S220" s="0" t="s">
        <v>968</v>
      </c>
    </row>
    <row r="221" customFormat="false" ht="15" hidden="false" customHeight="false" outlineLevel="0" collapsed="false">
      <c r="A221" s="0" t="s">
        <v>1359</v>
      </c>
      <c r="B221" s="0" t="s">
        <v>1360</v>
      </c>
      <c r="C221" s="0" t="n">
        <v>0</v>
      </c>
      <c r="D221" s="0" t="n">
        <v>217</v>
      </c>
      <c r="E221" s="0" t="n">
        <v>1</v>
      </c>
      <c r="F221" s="0" t="n">
        <v>296</v>
      </c>
      <c r="G221" s="0" t="n">
        <v>0.0194549040702886</v>
      </c>
      <c r="H221" s="0" t="n">
        <v>0.73962933717564</v>
      </c>
      <c r="I221" s="0" t="n">
        <v>0.73962933717564</v>
      </c>
      <c r="J221" s="0" t="n">
        <v>2</v>
      </c>
      <c r="K221" s="0" t="n">
        <v>63</v>
      </c>
      <c r="L221" s="0" t="n">
        <v>0.00530169149204746</v>
      </c>
      <c r="M221" s="0" t="n">
        <v>9606</v>
      </c>
      <c r="N221" s="0" t="s">
        <v>709</v>
      </c>
      <c r="Q221" s="0" t="s">
        <v>579</v>
      </c>
      <c r="R221" s="0" t="s">
        <v>742</v>
      </c>
      <c r="S221" s="0" t="s">
        <v>1108</v>
      </c>
    </row>
    <row r="222" customFormat="false" ht="15" hidden="false" customHeight="false" outlineLevel="0" collapsed="false">
      <c r="A222" s="0" t="s">
        <v>1361</v>
      </c>
      <c r="B222" s="0" t="s">
        <v>1362</v>
      </c>
      <c r="C222" s="0" t="n">
        <v>0</v>
      </c>
      <c r="D222" s="0" t="n">
        <v>44</v>
      </c>
      <c r="E222" s="0" t="n">
        <v>1</v>
      </c>
      <c r="F222" s="0" t="n">
        <v>468</v>
      </c>
      <c r="G222" s="0" t="n">
        <v>0.0039447731755424</v>
      </c>
      <c r="H222" s="0" t="n">
        <v>0.750574811506463</v>
      </c>
      <c r="I222" s="0" t="n">
        <v>0.750574811506463</v>
      </c>
      <c r="J222" s="0" t="n">
        <v>1</v>
      </c>
      <c r="K222" s="0" t="n">
        <v>38</v>
      </c>
      <c r="L222" s="0" t="n">
        <v>0.00319784566186989</v>
      </c>
      <c r="M222" s="0" t="n">
        <v>9606</v>
      </c>
      <c r="N222" s="0" t="s">
        <v>709</v>
      </c>
      <c r="Q222" s="0" t="s">
        <v>297</v>
      </c>
      <c r="R222" s="0" t="s">
        <v>750</v>
      </c>
      <c r="S222" s="0" t="s">
        <v>1293</v>
      </c>
    </row>
    <row r="223" customFormat="false" ht="15" hidden="false" customHeight="false" outlineLevel="0" collapsed="false">
      <c r="A223" s="0" t="s">
        <v>1363</v>
      </c>
      <c r="B223" s="0" t="s">
        <v>1364</v>
      </c>
      <c r="C223" s="0" t="n">
        <v>0</v>
      </c>
      <c r="D223" s="0" t="n">
        <v>173</v>
      </c>
      <c r="E223" s="0" t="n">
        <v>1</v>
      </c>
      <c r="F223" s="0" t="n">
        <v>367</v>
      </c>
      <c r="G223" s="0" t="n">
        <v>0.0155101308947462</v>
      </c>
      <c r="H223" s="0" t="n">
        <v>0.75199974792298</v>
      </c>
      <c r="I223" s="0" t="n">
        <v>0.75199974792298</v>
      </c>
      <c r="J223" s="0" t="n">
        <v>1</v>
      </c>
      <c r="K223" s="0" t="n">
        <v>68</v>
      </c>
      <c r="L223" s="0" t="n">
        <v>0.00572246065808297</v>
      </c>
      <c r="M223" s="0" t="n">
        <v>9606</v>
      </c>
      <c r="N223" s="0" t="s">
        <v>709</v>
      </c>
      <c r="Q223" s="0" t="s">
        <v>569</v>
      </c>
      <c r="R223" s="0" t="s">
        <v>743</v>
      </c>
      <c r="S223" s="0" t="s">
        <v>1111</v>
      </c>
    </row>
    <row r="224" customFormat="false" ht="15" hidden="false" customHeight="false" outlineLevel="0" collapsed="false">
      <c r="A224" s="0" t="s">
        <v>1365</v>
      </c>
      <c r="B224" s="0" t="s">
        <v>1366</v>
      </c>
      <c r="C224" s="0" t="n">
        <v>0</v>
      </c>
      <c r="D224" s="0" t="n">
        <v>31</v>
      </c>
      <c r="E224" s="0" t="n">
        <v>1</v>
      </c>
      <c r="F224" s="0" t="n">
        <v>483</v>
      </c>
      <c r="G224" s="0" t="n">
        <v>0.00277927201004124</v>
      </c>
      <c r="H224" s="0" t="n">
        <v>0.757620245784144</v>
      </c>
      <c r="I224" s="0" t="n">
        <v>0.757620245784144</v>
      </c>
      <c r="J224" s="0" t="n">
        <v>1</v>
      </c>
      <c r="K224" s="0" t="n">
        <v>25</v>
      </c>
      <c r="L224" s="0" t="n">
        <v>0.00210384583017756</v>
      </c>
      <c r="M224" s="0" t="n">
        <v>9606</v>
      </c>
      <c r="N224" s="0" t="s">
        <v>709</v>
      </c>
      <c r="Q224" s="0" t="s">
        <v>579</v>
      </c>
      <c r="R224" s="0" t="s">
        <v>1003</v>
      </c>
      <c r="S224" s="0" t="s">
        <v>1367</v>
      </c>
    </row>
    <row r="225" customFormat="false" ht="15" hidden="false" customHeight="false" outlineLevel="0" collapsed="false">
      <c r="A225" s="0" t="s">
        <v>1368</v>
      </c>
      <c r="B225" s="0" t="s">
        <v>1369</v>
      </c>
      <c r="C225" s="0" t="n">
        <v>0</v>
      </c>
      <c r="D225" s="0" t="n">
        <v>103</v>
      </c>
      <c r="E225" s="0" t="n">
        <v>1</v>
      </c>
      <c r="F225" s="0" t="n">
        <v>496</v>
      </c>
      <c r="G225" s="0" t="n">
        <v>0.00923435538820154</v>
      </c>
      <c r="H225" s="0" t="n">
        <v>0.798893966532163</v>
      </c>
      <c r="I225" s="0" t="n">
        <v>0.798893966532163</v>
      </c>
      <c r="J225" s="0" t="n">
        <v>1</v>
      </c>
      <c r="K225" s="0" t="n">
        <v>121</v>
      </c>
      <c r="L225" s="0" t="n">
        <v>0.0101826138180594</v>
      </c>
      <c r="M225" s="0" t="n">
        <v>9606</v>
      </c>
      <c r="N225" s="0" t="s">
        <v>709</v>
      </c>
      <c r="Q225" s="0" t="s">
        <v>579</v>
      </c>
      <c r="R225" s="0" t="s">
        <v>920</v>
      </c>
      <c r="S225" s="0" t="s">
        <v>921</v>
      </c>
    </row>
    <row r="226" customFormat="false" ht="15" hidden="false" customHeight="false" outlineLevel="0" collapsed="false">
      <c r="A226" s="0" t="s">
        <v>1370</v>
      </c>
      <c r="B226" s="0" t="s">
        <v>1371</v>
      </c>
      <c r="C226" s="0" t="n">
        <v>0</v>
      </c>
      <c r="D226" s="0" t="n">
        <v>121</v>
      </c>
      <c r="E226" s="0" t="n">
        <v>1</v>
      </c>
      <c r="F226" s="0" t="n">
        <v>471</v>
      </c>
      <c r="G226" s="0" t="n">
        <v>0.0108481262327416</v>
      </c>
      <c r="H226" s="0" t="n">
        <v>0.799471857034886</v>
      </c>
      <c r="I226" s="0" t="n">
        <v>0.799471857034886</v>
      </c>
      <c r="J226" s="0" t="n">
        <v>2</v>
      </c>
      <c r="K226" s="0" t="n">
        <v>84</v>
      </c>
      <c r="L226" s="0" t="n">
        <v>0.00706892198939661</v>
      </c>
      <c r="M226" s="0" t="n">
        <v>9606</v>
      </c>
      <c r="N226" s="0" t="s">
        <v>709</v>
      </c>
      <c r="Q226" s="0" t="s">
        <v>547</v>
      </c>
      <c r="R226" s="0" t="s">
        <v>907</v>
      </c>
      <c r="S226" s="0" t="s">
        <v>1232</v>
      </c>
      <c r="T226" s="0" t="s">
        <v>1372</v>
      </c>
    </row>
    <row r="227" customFormat="false" ht="15" hidden="false" customHeight="false" outlineLevel="0" collapsed="false">
      <c r="A227" s="0" t="s">
        <v>1373</v>
      </c>
      <c r="B227" s="0" t="s">
        <v>1374</v>
      </c>
      <c r="C227" s="0" t="n">
        <v>0</v>
      </c>
      <c r="D227" s="0" t="n">
        <v>129</v>
      </c>
      <c r="E227" s="0" t="n">
        <v>1</v>
      </c>
      <c r="F227" s="0" t="n">
        <v>498</v>
      </c>
      <c r="G227" s="0" t="n">
        <v>0.0115653577192038</v>
      </c>
      <c r="H227" s="0" t="n">
        <v>0.799471857034886</v>
      </c>
      <c r="I227" s="0" t="n">
        <v>0.799471857034886</v>
      </c>
      <c r="J227" s="0" t="n">
        <v>2</v>
      </c>
      <c r="K227" s="0" t="n">
        <v>95</v>
      </c>
      <c r="L227" s="0" t="n">
        <v>0.00799461415467474</v>
      </c>
      <c r="M227" s="0" t="n">
        <v>9606</v>
      </c>
      <c r="N227" s="0" t="s">
        <v>709</v>
      </c>
      <c r="Q227" s="0" t="s">
        <v>579</v>
      </c>
      <c r="R227" s="0" t="s">
        <v>742</v>
      </c>
      <c r="S227" s="0" t="s">
        <v>1108</v>
      </c>
    </row>
    <row r="228" customFormat="false" ht="15" hidden="false" customHeight="false" outlineLevel="0" collapsed="false">
      <c r="A228" s="0" t="s">
        <v>1375</v>
      </c>
      <c r="B228" s="0" t="s">
        <v>1376</v>
      </c>
      <c r="C228" s="0" t="n">
        <v>0</v>
      </c>
      <c r="D228" s="0" t="n">
        <v>74</v>
      </c>
      <c r="E228" s="0" t="n">
        <v>1</v>
      </c>
      <c r="F228" s="0" t="n">
        <v>520</v>
      </c>
      <c r="G228" s="0" t="n">
        <v>0.00663439124977586</v>
      </c>
      <c r="H228" s="0" t="n">
        <v>0.804036841864626</v>
      </c>
      <c r="I228" s="0" t="n">
        <v>0.804036841864626</v>
      </c>
      <c r="J228" s="0" t="n">
        <v>1</v>
      </c>
      <c r="K228" s="0" t="n">
        <v>19</v>
      </c>
      <c r="L228" s="0" t="n">
        <v>0.00159892283093494</v>
      </c>
      <c r="M228" s="0" t="n">
        <v>9606</v>
      </c>
      <c r="N228" s="0" t="s">
        <v>709</v>
      </c>
      <c r="Q228" s="0" t="s">
        <v>566</v>
      </c>
      <c r="R228" s="0" t="s">
        <v>916</v>
      </c>
      <c r="S228" s="0" t="s">
        <v>1319</v>
      </c>
    </row>
    <row r="229" customFormat="false" ht="15" hidden="false" customHeight="false" outlineLevel="0" collapsed="false">
      <c r="A229" s="0" t="s">
        <v>1377</v>
      </c>
      <c r="B229" s="0" t="s">
        <v>1378</v>
      </c>
      <c r="C229" s="0" t="n">
        <v>1</v>
      </c>
      <c r="D229" s="0" t="n">
        <v>273</v>
      </c>
      <c r="E229" s="0" t="n">
        <v>1</v>
      </c>
      <c r="F229" s="0" t="n">
        <v>822</v>
      </c>
      <c r="G229" s="0" t="n">
        <v>0.0244755244755244</v>
      </c>
      <c r="H229" s="0" t="n">
        <v>0.8077530303367</v>
      </c>
      <c r="I229" s="0" t="n">
        <v>0.8077530303367</v>
      </c>
      <c r="J229" s="0" t="n">
        <v>3</v>
      </c>
      <c r="K229" s="0" t="n">
        <v>153</v>
      </c>
      <c r="L229" s="0" t="n">
        <v>0.0128755364806866</v>
      </c>
      <c r="M229" s="0" t="n">
        <v>9606</v>
      </c>
      <c r="N229" s="0" t="s">
        <v>709</v>
      </c>
      <c r="O229" s="0" t="s">
        <v>551</v>
      </c>
      <c r="P229" s="0" t="s">
        <v>551</v>
      </c>
      <c r="Q229" s="0" t="s">
        <v>547</v>
      </c>
      <c r="R229" s="0" t="s">
        <v>815</v>
      </c>
      <c r="S229" s="0" t="s">
        <v>1379</v>
      </c>
    </row>
    <row r="230" customFormat="false" ht="15" hidden="false" customHeight="false" outlineLevel="0" collapsed="false">
      <c r="A230" s="0" t="s">
        <v>1380</v>
      </c>
      <c r="B230" s="0" t="s">
        <v>1381</v>
      </c>
      <c r="C230" s="0" t="n">
        <v>2</v>
      </c>
      <c r="D230" s="0" t="n">
        <v>635</v>
      </c>
      <c r="E230" s="0" t="n">
        <v>1</v>
      </c>
      <c r="F230" s="0" t="n">
        <v>1032</v>
      </c>
      <c r="G230" s="0" t="n">
        <v>0.0569302492379415</v>
      </c>
      <c r="H230" s="0" t="n">
        <v>0.811956353697845</v>
      </c>
      <c r="I230" s="0" t="n">
        <v>0.811956353697845</v>
      </c>
      <c r="J230" s="0" t="n">
        <v>28</v>
      </c>
      <c r="K230" s="0" t="n">
        <v>218</v>
      </c>
      <c r="L230" s="0" t="n">
        <v>0.0183455356391483</v>
      </c>
      <c r="M230" s="0" t="n">
        <v>9606</v>
      </c>
      <c r="N230" s="0" t="s">
        <v>709</v>
      </c>
      <c r="O230" s="0" t="s">
        <v>1382</v>
      </c>
      <c r="P230" s="0" t="s">
        <v>1382</v>
      </c>
      <c r="Q230" s="0" t="s">
        <v>566</v>
      </c>
      <c r="R230" s="0" t="s">
        <v>916</v>
      </c>
      <c r="S230" s="0" t="s">
        <v>1383</v>
      </c>
    </row>
    <row r="231" customFormat="false" ht="15" hidden="false" customHeight="false" outlineLevel="0" collapsed="false">
      <c r="A231" s="0" t="s">
        <v>1384</v>
      </c>
      <c r="B231" s="0" t="s">
        <v>1385</v>
      </c>
      <c r="C231" s="0" t="n">
        <v>0</v>
      </c>
      <c r="D231" s="0" t="n">
        <v>441</v>
      </c>
      <c r="E231" s="0" t="n">
        <v>1</v>
      </c>
      <c r="F231" s="0" t="n">
        <v>171</v>
      </c>
      <c r="G231" s="0" t="n">
        <v>0.0395373856912318</v>
      </c>
      <c r="H231" s="0" t="n">
        <v>0.813939377946196</v>
      </c>
      <c r="I231" s="0" t="n">
        <v>0.813939377946196</v>
      </c>
      <c r="J231" s="0" t="n">
        <v>2</v>
      </c>
      <c r="K231" s="0" t="n">
        <v>47</v>
      </c>
      <c r="L231" s="0" t="n">
        <v>0.00395523016073382</v>
      </c>
      <c r="M231" s="0" t="n">
        <v>9606</v>
      </c>
      <c r="N231" s="0" t="s">
        <v>709</v>
      </c>
      <c r="Q231" s="0" t="s">
        <v>579</v>
      </c>
      <c r="R231" s="0" t="s">
        <v>807</v>
      </c>
      <c r="S231" s="0" t="s">
        <v>1159</v>
      </c>
    </row>
    <row r="232" customFormat="false" ht="15" hidden="false" customHeight="false" outlineLevel="0" collapsed="false">
      <c r="A232" s="0" t="s">
        <v>1386</v>
      </c>
      <c r="B232" s="0" t="s">
        <v>1387</v>
      </c>
      <c r="C232" s="0" t="n">
        <v>1</v>
      </c>
      <c r="D232" s="0" t="n">
        <v>297</v>
      </c>
      <c r="E232" s="0" t="n">
        <v>0</v>
      </c>
      <c r="F232" s="0" t="n">
        <v>326</v>
      </c>
      <c r="G232" s="0" t="n">
        <v>0.0266272189349112</v>
      </c>
      <c r="H232" s="0" t="n">
        <v>0.818181690221511</v>
      </c>
      <c r="I232" s="0" t="n">
        <v>0.818181690221511</v>
      </c>
      <c r="J232" s="0" t="n">
        <v>1</v>
      </c>
      <c r="K232" s="0" t="n">
        <v>43</v>
      </c>
      <c r="L232" s="0" t="n">
        <v>0.00361861482790541</v>
      </c>
      <c r="M232" s="0" t="n">
        <v>9606</v>
      </c>
      <c r="N232" s="0" t="s">
        <v>709</v>
      </c>
      <c r="O232" s="0" t="s">
        <v>235</v>
      </c>
      <c r="P232" s="0" t="s">
        <v>235</v>
      </c>
      <c r="S232" s="0" t="s">
        <v>1388</v>
      </c>
    </row>
    <row r="233" customFormat="false" ht="15" hidden="false" customHeight="false" outlineLevel="0" collapsed="false">
      <c r="A233" s="0" t="s">
        <v>1389</v>
      </c>
      <c r="B233" s="0" t="s">
        <v>1390</v>
      </c>
      <c r="C233" s="0" t="n">
        <v>0</v>
      </c>
      <c r="D233" s="0" t="n">
        <v>195</v>
      </c>
      <c r="E233" s="0" t="n">
        <v>2</v>
      </c>
      <c r="F233" s="0" t="n">
        <v>979</v>
      </c>
      <c r="G233" s="0" t="n">
        <v>0.0174825174825174</v>
      </c>
      <c r="H233" s="0" t="n">
        <v>0.829173064965486</v>
      </c>
      <c r="I233" s="0" t="n">
        <v>0.829173064965486</v>
      </c>
      <c r="J233" s="0" t="n">
        <v>2</v>
      </c>
      <c r="K233" s="0" t="n">
        <v>107</v>
      </c>
      <c r="L233" s="0" t="n">
        <v>0.00900446015315997</v>
      </c>
      <c r="M233" s="0" t="n">
        <v>9606</v>
      </c>
      <c r="N233" s="0" t="s">
        <v>709</v>
      </c>
      <c r="Q233" s="0" t="s">
        <v>547</v>
      </c>
      <c r="R233" s="0" t="s">
        <v>579</v>
      </c>
      <c r="S233" s="0" t="s">
        <v>742</v>
      </c>
      <c r="T233" s="0" t="s">
        <v>815</v>
      </c>
      <c r="U233" s="0" t="s">
        <v>1391</v>
      </c>
    </row>
    <row r="234" customFormat="false" ht="15" hidden="false" customHeight="false" outlineLevel="0" collapsed="false">
      <c r="A234" s="0" t="s">
        <v>1392</v>
      </c>
      <c r="B234" s="0" t="s">
        <v>1393</v>
      </c>
      <c r="C234" s="0" t="n">
        <v>0</v>
      </c>
      <c r="D234" s="0" t="n">
        <v>164</v>
      </c>
      <c r="E234" s="0" t="n">
        <v>1</v>
      </c>
      <c r="F234" s="0" t="n">
        <v>514</v>
      </c>
      <c r="G234" s="0" t="n">
        <v>0.0147032454724762</v>
      </c>
      <c r="H234" s="0" t="n">
        <v>0.830348567471477</v>
      </c>
      <c r="I234" s="0" t="n">
        <v>0.830348567471477</v>
      </c>
      <c r="J234" s="0" t="n">
        <v>2</v>
      </c>
      <c r="K234" s="0" t="n">
        <v>88</v>
      </c>
      <c r="L234" s="0" t="n">
        <v>0.00740553732222502</v>
      </c>
      <c r="M234" s="0" t="n">
        <v>9606</v>
      </c>
      <c r="N234" s="0" t="s">
        <v>709</v>
      </c>
      <c r="Q234" s="0" t="s">
        <v>579</v>
      </c>
      <c r="R234" s="0" t="s">
        <v>742</v>
      </c>
      <c r="S234" s="0" t="s">
        <v>1108</v>
      </c>
    </row>
    <row r="235" customFormat="false" ht="15" hidden="false" customHeight="false" outlineLevel="0" collapsed="false">
      <c r="A235" s="0" t="s">
        <v>1394</v>
      </c>
      <c r="B235" s="0" t="s">
        <v>1395</v>
      </c>
      <c r="C235" s="0" t="n">
        <v>3</v>
      </c>
      <c r="D235" s="0" t="n">
        <v>747</v>
      </c>
      <c r="E235" s="0" t="n">
        <v>3</v>
      </c>
      <c r="F235" s="0" t="n">
        <v>1376</v>
      </c>
      <c r="G235" s="0" t="n">
        <v>0.0669714900484131</v>
      </c>
      <c r="H235" s="0" t="n">
        <v>0.830676771791702</v>
      </c>
      <c r="I235" s="0" t="n">
        <v>0.830676771791702</v>
      </c>
      <c r="J235" s="0" t="n">
        <v>4</v>
      </c>
      <c r="K235" s="0" t="n">
        <v>813</v>
      </c>
      <c r="L235" s="0" t="n">
        <v>0.0684170663973744</v>
      </c>
      <c r="M235" s="0" t="n">
        <v>9606</v>
      </c>
      <c r="N235" s="0" t="s">
        <v>709</v>
      </c>
      <c r="O235" s="0" t="s">
        <v>1396</v>
      </c>
      <c r="P235" s="0" t="s">
        <v>1396</v>
      </c>
      <c r="Q235" s="0" t="s">
        <v>566</v>
      </c>
      <c r="R235" s="0" t="s">
        <v>558</v>
      </c>
      <c r="S235" s="0" t="s">
        <v>562</v>
      </c>
      <c r="T235" s="0" t="s">
        <v>566</v>
      </c>
      <c r="U235" s="0" t="s">
        <v>952</v>
      </c>
      <c r="V235" s="0" t="s">
        <v>1397</v>
      </c>
    </row>
    <row r="236" customFormat="false" ht="15" hidden="false" customHeight="false" outlineLevel="0" collapsed="false">
      <c r="A236" s="0" t="s">
        <v>1398</v>
      </c>
      <c r="B236" s="0" t="s">
        <v>1399</v>
      </c>
      <c r="C236" s="0" t="n">
        <v>0</v>
      </c>
      <c r="D236" s="0" t="n">
        <v>238</v>
      </c>
      <c r="E236" s="0" t="n">
        <v>2</v>
      </c>
      <c r="F236" s="0" t="n">
        <v>984</v>
      </c>
      <c r="G236" s="0" t="n">
        <v>0.0213376367222521</v>
      </c>
      <c r="H236" s="0" t="n">
        <v>0.845692023640062</v>
      </c>
      <c r="I236" s="0" t="n">
        <v>0.845692023640062</v>
      </c>
      <c r="J236" s="0" t="n">
        <v>2</v>
      </c>
      <c r="K236" s="0" t="n">
        <v>128</v>
      </c>
      <c r="L236" s="0" t="n">
        <v>0.0107716906505091</v>
      </c>
      <c r="M236" s="0" t="n">
        <v>9606</v>
      </c>
      <c r="N236" s="0" t="s">
        <v>709</v>
      </c>
      <c r="Q236" s="0" t="s">
        <v>547</v>
      </c>
      <c r="R236" s="0" t="s">
        <v>579</v>
      </c>
      <c r="S236" s="0" t="s">
        <v>742</v>
      </c>
      <c r="T236" s="0" t="s">
        <v>815</v>
      </c>
      <c r="U236" s="0" t="s">
        <v>1391</v>
      </c>
    </row>
    <row r="237" customFormat="false" ht="15" hidden="false" customHeight="false" outlineLevel="0" collapsed="false">
      <c r="A237" s="0" t="s">
        <v>1400</v>
      </c>
      <c r="B237" s="0" t="s">
        <v>1401</v>
      </c>
      <c r="C237" s="0" t="n">
        <v>1</v>
      </c>
      <c r="D237" s="0" t="n">
        <v>408</v>
      </c>
      <c r="E237" s="0" t="n">
        <v>1</v>
      </c>
      <c r="F237" s="0" t="n">
        <v>859</v>
      </c>
      <c r="G237" s="0" t="n">
        <v>0.036578805809575</v>
      </c>
      <c r="H237" s="0" t="n">
        <v>0.846042552149274</v>
      </c>
      <c r="I237" s="0" t="n">
        <v>0.846042552149274</v>
      </c>
      <c r="J237" s="0" t="n">
        <v>3</v>
      </c>
      <c r="K237" s="0" t="n">
        <v>181</v>
      </c>
      <c r="L237" s="0" t="n">
        <v>0.0152318438104855</v>
      </c>
      <c r="M237" s="0" t="n">
        <v>9606</v>
      </c>
      <c r="N237" s="0" t="s">
        <v>709</v>
      </c>
      <c r="O237" s="0" t="s">
        <v>563</v>
      </c>
      <c r="P237" s="0" t="s">
        <v>563</v>
      </c>
      <c r="Q237" s="0" t="s">
        <v>579</v>
      </c>
      <c r="R237" s="0" t="s">
        <v>742</v>
      </c>
      <c r="S237" s="0" t="s">
        <v>1402</v>
      </c>
    </row>
    <row r="238" customFormat="false" ht="15" hidden="false" customHeight="false" outlineLevel="0" collapsed="false">
      <c r="A238" s="0" t="s">
        <v>1403</v>
      </c>
      <c r="B238" s="0" t="s">
        <v>1404</v>
      </c>
      <c r="C238" s="0" t="n">
        <v>0</v>
      </c>
      <c r="D238" s="0" t="n">
        <v>144</v>
      </c>
      <c r="E238" s="0" t="n">
        <v>1</v>
      </c>
      <c r="F238" s="0" t="n">
        <v>543</v>
      </c>
      <c r="G238" s="0" t="n">
        <v>0.0129101667563206</v>
      </c>
      <c r="H238" s="0" t="n">
        <v>0.846231260714123</v>
      </c>
      <c r="I238" s="0" t="n">
        <v>0.846231260714123</v>
      </c>
      <c r="J238" s="0" t="n">
        <v>1</v>
      </c>
      <c r="K238" s="0" t="n">
        <v>54</v>
      </c>
      <c r="L238" s="0" t="n">
        <v>0.00454430699318353</v>
      </c>
      <c r="M238" s="0" t="n">
        <v>9606</v>
      </c>
      <c r="N238" s="0" t="s">
        <v>709</v>
      </c>
      <c r="Q238" s="0" t="s">
        <v>547</v>
      </c>
      <c r="R238" s="0" t="s">
        <v>749</v>
      </c>
      <c r="S238" s="0" t="s">
        <v>1206</v>
      </c>
    </row>
    <row r="239" customFormat="false" ht="15" hidden="false" customHeight="false" outlineLevel="0" collapsed="false">
      <c r="A239" s="0" t="s">
        <v>1405</v>
      </c>
      <c r="B239" s="0" t="s">
        <v>1406</v>
      </c>
      <c r="C239" s="0" t="n">
        <v>0</v>
      </c>
      <c r="D239" s="0" t="n">
        <v>73</v>
      </c>
      <c r="E239" s="0" t="n">
        <v>1</v>
      </c>
      <c r="F239" s="0" t="n">
        <v>615</v>
      </c>
      <c r="G239" s="0" t="n">
        <v>0.00654473731396808</v>
      </c>
      <c r="H239" s="0" t="n">
        <v>0.846231260714123</v>
      </c>
      <c r="I239" s="0" t="n">
        <v>0.846231260714123</v>
      </c>
      <c r="J239" s="0" t="n">
        <v>1</v>
      </c>
      <c r="K239" s="0" t="n">
        <v>82</v>
      </c>
      <c r="L239" s="0" t="n">
        <v>0.00690061432298241</v>
      </c>
      <c r="M239" s="0" t="n">
        <v>9606</v>
      </c>
      <c r="N239" s="0" t="s">
        <v>709</v>
      </c>
      <c r="Q239" s="0" t="s">
        <v>297</v>
      </c>
      <c r="R239" s="0" t="s">
        <v>750</v>
      </c>
      <c r="S239" s="0" t="s">
        <v>1293</v>
      </c>
    </row>
    <row r="240" customFormat="false" ht="15" hidden="false" customHeight="false" outlineLevel="0" collapsed="false">
      <c r="A240" s="0" t="s">
        <v>1407</v>
      </c>
      <c r="B240" s="0" t="s">
        <v>1408</v>
      </c>
      <c r="C240" s="0" t="n">
        <v>0</v>
      </c>
      <c r="D240" s="0" t="n">
        <v>57</v>
      </c>
      <c r="E240" s="0" t="n">
        <v>1</v>
      </c>
      <c r="F240" s="0" t="n">
        <v>635</v>
      </c>
      <c r="G240" s="0" t="n">
        <v>0.00511027434104357</v>
      </c>
      <c r="H240" s="0" t="n">
        <v>0.850619016309384</v>
      </c>
      <c r="I240" s="0" t="n">
        <v>0.850619016309384</v>
      </c>
      <c r="J240" s="0" t="n">
        <v>3</v>
      </c>
      <c r="K240" s="0" t="n">
        <v>53</v>
      </c>
      <c r="L240" s="0" t="n">
        <v>0.00446015315997643</v>
      </c>
      <c r="M240" s="0" t="n">
        <v>9606</v>
      </c>
      <c r="N240" s="0" t="s">
        <v>709</v>
      </c>
      <c r="Q240" s="0" t="s">
        <v>547</v>
      </c>
      <c r="R240" s="0" t="s">
        <v>1049</v>
      </c>
      <c r="S240" s="0" t="s">
        <v>1068</v>
      </c>
    </row>
    <row r="241" customFormat="false" ht="15" hidden="false" customHeight="false" outlineLevel="0" collapsed="false">
      <c r="A241" s="0" t="s">
        <v>1409</v>
      </c>
      <c r="B241" s="0" t="s">
        <v>1410</v>
      </c>
      <c r="C241" s="0" t="n">
        <v>0</v>
      </c>
      <c r="D241" s="0" t="n">
        <v>57</v>
      </c>
      <c r="E241" s="0" t="n">
        <v>1</v>
      </c>
      <c r="F241" s="0" t="n">
        <v>635</v>
      </c>
      <c r="G241" s="0" t="n">
        <v>0.00511027434104357</v>
      </c>
      <c r="H241" s="0" t="n">
        <v>0.850619016309384</v>
      </c>
      <c r="I241" s="0" t="n">
        <v>0.850619016309384</v>
      </c>
      <c r="J241" s="0" t="n">
        <v>3</v>
      </c>
      <c r="K241" s="0" t="n">
        <v>53</v>
      </c>
      <c r="L241" s="0" t="n">
        <v>0.00446015315997643</v>
      </c>
      <c r="M241" s="0" t="n">
        <v>9606</v>
      </c>
      <c r="N241" s="0" t="s">
        <v>709</v>
      </c>
      <c r="Q241" s="0" t="s">
        <v>547</v>
      </c>
      <c r="R241" s="0" t="s">
        <v>1049</v>
      </c>
      <c r="S241" s="0" t="s">
        <v>1068</v>
      </c>
    </row>
    <row r="242" customFormat="false" ht="15" hidden="false" customHeight="false" outlineLevel="0" collapsed="false">
      <c r="A242" s="0" t="s">
        <v>1411</v>
      </c>
      <c r="B242" s="0" t="s">
        <v>1412</v>
      </c>
      <c r="C242" s="0" t="n">
        <v>0</v>
      </c>
      <c r="D242" s="0" t="n">
        <v>148</v>
      </c>
      <c r="E242" s="0" t="n">
        <v>1</v>
      </c>
      <c r="F242" s="0" t="n">
        <v>595</v>
      </c>
      <c r="G242" s="0" t="n">
        <v>0.0132687824995517</v>
      </c>
      <c r="H242" s="0" t="n">
        <v>0.853617288391794</v>
      </c>
      <c r="I242" s="0" t="n">
        <v>0.853617288391794</v>
      </c>
      <c r="J242" s="0" t="n">
        <v>2</v>
      </c>
      <c r="K242" s="0" t="n">
        <v>106</v>
      </c>
      <c r="L242" s="0" t="n">
        <v>0.00892030631995287</v>
      </c>
      <c r="M242" s="0" t="n">
        <v>9606</v>
      </c>
      <c r="N242" s="0" t="s">
        <v>709</v>
      </c>
      <c r="Q242" s="0" t="s">
        <v>547</v>
      </c>
      <c r="R242" s="0" t="s">
        <v>815</v>
      </c>
      <c r="S242" s="0" t="s">
        <v>1077</v>
      </c>
    </row>
    <row r="243" customFormat="false" ht="15" hidden="false" customHeight="false" outlineLevel="0" collapsed="false">
      <c r="A243" s="0" t="s">
        <v>1413</v>
      </c>
      <c r="B243" s="0" t="s">
        <v>1414</v>
      </c>
      <c r="C243" s="0" t="n">
        <v>1</v>
      </c>
      <c r="D243" s="0" t="n">
        <v>305</v>
      </c>
      <c r="E243" s="0" t="n">
        <v>0</v>
      </c>
      <c r="F243" s="0" t="n">
        <v>463</v>
      </c>
      <c r="G243" s="0" t="n">
        <v>0.0273444504213734</v>
      </c>
      <c r="H243" s="0" t="n">
        <v>0.869653466081447</v>
      </c>
      <c r="I243" s="0" t="n">
        <v>0.869653466081447</v>
      </c>
      <c r="J243" s="0" t="n">
        <v>4</v>
      </c>
      <c r="K243" s="0" t="n">
        <v>86</v>
      </c>
      <c r="L243" s="0" t="n">
        <v>0.00723722965581082</v>
      </c>
      <c r="M243" s="0" t="n">
        <v>9606</v>
      </c>
      <c r="N243" s="0" t="s">
        <v>709</v>
      </c>
      <c r="O243" s="0" t="s">
        <v>547</v>
      </c>
      <c r="P243" s="0" t="s">
        <v>547</v>
      </c>
      <c r="S243" s="0" t="s">
        <v>978</v>
      </c>
    </row>
    <row r="244" customFormat="false" ht="15" hidden="false" customHeight="false" outlineLevel="0" collapsed="false">
      <c r="A244" s="0" t="s">
        <v>1415</v>
      </c>
      <c r="B244" s="0" t="s">
        <v>1416</v>
      </c>
      <c r="C244" s="0" t="n">
        <v>10</v>
      </c>
      <c r="D244" s="0" t="n">
        <v>2768</v>
      </c>
      <c r="E244" s="0" t="n">
        <v>9</v>
      </c>
      <c r="F244" s="0" t="n">
        <v>5046</v>
      </c>
      <c r="G244" s="0" t="n">
        <v>0.24816209431594</v>
      </c>
      <c r="H244" s="0" t="n">
        <v>0.870924464975968</v>
      </c>
      <c r="I244" s="0" t="n">
        <v>0.870924464975968</v>
      </c>
      <c r="J244" s="0" t="n">
        <v>56</v>
      </c>
      <c r="K244" s="0" t="n">
        <v>2216</v>
      </c>
      <c r="L244" s="0" t="n">
        <v>0.186484894386939</v>
      </c>
      <c r="M244" s="0" t="n">
        <v>9606</v>
      </c>
      <c r="N244" s="0" t="s">
        <v>709</v>
      </c>
      <c r="O244" s="0" t="s">
        <v>1417</v>
      </c>
      <c r="P244" s="0" t="s">
        <v>1417</v>
      </c>
      <c r="Q244" s="0" t="s">
        <v>547</v>
      </c>
      <c r="R244" s="0" t="s">
        <v>311</v>
      </c>
      <c r="S244" s="0" t="s">
        <v>297</v>
      </c>
      <c r="T244" s="0" t="s">
        <v>562</v>
      </c>
      <c r="U244" s="0" t="s">
        <v>579</v>
      </c>
      <c r="V244" s="0" t="s">
        <v>395</v>
      </c>
      <c r="W244" s="0" t="s">
        <v>547</v>
      </c>
      <c r="X244" s="0" t="s">
        <v>569</v>
      </c>
      <c r="Y244" s="0" t="s">
        <v>335</v>
      </c>
      <c r="Z244" s="0" t="s">
        <v>1048</v>
      </c>
      <c r="AA244" s="0" t="s">
        <v>742</v>
      </c>
      <c r="AB244" s="0" t="s">
        <v>1049</v>
      </c>
      <c r="AC244" s="0" t="s">
        <v>235</v>
      </c>
      <c r="AD244" s="0" t="s">
        <v>815</v>
      </c>
      <c r="AE244" s="0" t="s">
        <v>749</v>
      </c>
      <c r="AF244" s="0" t="s">
        <v>920</v>
      </c>
      <c r="AG244" s="0" t="s">
        <v>873</v>
      </c>
      <c r="AH244" s="0" t="s">
        <v>874</v>
      </c>
      <c r="AI244" s="0" t="s">
        <v>763</v>
      </c>
      <c r="AJ244" s="0" t="s">
        <v>764</v>
      </c>
      <c r="AK244" s="0" t="s">
        <v>750</v>
      </c>
      <c r="AL244" s="0" t="s">
        <v>1418</v>
      </c>
    </row>
    <row r="245" customFormat="false" ht="15" hidden="false" customHeight="false" outlineLevel="0" collapsed="false">
      <c r="A245" s="0" t="s">
        <v>1419</v>
      </c>
      <c r="B245" s="0" t="s">
        <v>1420</v>
      </c>
      <c r="C245" s="0" t="n">
        <v>0</v>
      </c>
      <c r="D245" s="0" t="n">
        <v>207</v>
      </c>
      <c r="E245" s="0" t="n">
        <v>1</v>
      </c>
      <c r="F245" s="0" t="n">
        <v>544</v>
      </c>
      <c r="G245" s="0" t="n">
        <v>0.0185583647122108</v>
      </c>
      <c r="H245" s="0" t="n">
        <v>0.875935970413588</v>
      </c>
      <c r="I245" s="0" t="n">
        <v>0.875935970413588</v>
      </c>
      <c r="J245" s="0" t="n">
        <v>2</v>
      </c>
      <c r="K245" s="0" t="n">
        <v>105</v>
      </c>
      <c r="L245" s="0" t="n">
        <v>0.00883615248674577</v>
      </c>
      <c r="M245" s="0" t="n">
        <v>9606</v>
      </c>
      <c r="N245" s="0" t="s">
        <v>709</v>
      </c>
      <c r="Q245" s="0" t="s">
        <v>547</v>
      </c>
      <c r="R245" s="0" t="s">
        <v>815</v>
      </c>
      <c r="S245" s="0" t="s">
        <v>1045</v>
      </c>
    </row>
    <row r="246" customFormat="false" ht="15" hidden="false" customHeight="false" outlineLevel="0" collapsed="false">
      <c r="A246" s="0" t="s">
        <v>1421</v>
      </c>
      <c r="B246" s="0" t="s">
        <v>1422</v>
      </c>
      <c r="C246" s="0" t="n">
        <v>1</v>
      </c>
      <c r="D246" s="0" t="n">
        <v>419</v>
      </c>
      <c r="E246" s="0" t="n">
        <v>1</v>
      </c>
      <c r="F246" s="0" t="n">
        <v>884</v>
      </c>
      <c r="G246" s="0" t="n">
        <v>0.0375649991034606</v>
      </c>
      <c r="H246" s="0" t="n">
        <v>0.879144535363027</v>
      </c>
      <c r="I246" s="0" t="n">
        <v>0.879144535363027</v>
      </c>
      <c r="J246" s="0" t="n">
        <v>3</v>
      </c>
      <c r="K246" s="0" t="n">
        <v>206</v>
      </c>
      <c r="L246" s="0" t="n">
        <v>0.0173356896406631</v>
      </c>
      <c r="M246" s="0" t="n">
        <v>9606</v>
      </c>
      <c r="N246" s="0" t="s">
        <v>709</v>
      </c>
      <c r="O246" s="0" t="s">
        <v>551</v>
      </c>
      <c r="P246" s="0" t="s">
        <v>551</v>
      </c>
      <c r="Q246" s="0" t="s">
        <v>547</v>
      </c>
      <c r="R246" s="0" t="s">
        <v>815</v>
      </c>
      <c r="S246" s="0" t="s">
        <v>1379</v>
      </c>
    </row>
    <row r="247" customFormat="false" ht="15" hidden="false" customHeight="false" outlineLevel="0" collapsed="false">
      <c r="A247" s="0" t="s">
        <v>1423</v>
      </c>
      <c r="B247" s="0" t="s">
        <v>1424</v>
      </c>
      <c r="C247" s="0" t="n">
        <v>0</v>
      </c>
      <c r="D247" s="0" t="n">
        <v>102</v>
      </c>
      <c r="E247" s="0" t="n">
        <v>1</v>
      </c>
      <c r="F247" s="0" t="n">
        <v>697</v>
      </c>
      <c r="G247" s="0" t="n">
        <v>0.00914470145239376</v>
      </c>
      <c r="H247" s="0" t="n">
        <v>0.886968014688608</v>
      </c>
      <c r="I247" s="0" t="n">
        <v>0.886968014688608</v>
      </c>
      <c r="J247" s="0" t="n">
        <v>1</v>
      </c>
      <c r="K247" s="0" t="n">
        <v>107</v>
      </c>
      <c r="L247" s="0" t="n">
        <v>0.00900446015315997</v>
      </c>
      <c r="M247" s="0" t="n">
        <v>9606</v>
      </c>
      <c r="N247" s="0" t="s">
        <v>709</v>
      </c>
      <c r="Q247" s="0" t="s">
        <v>297</v>
      </c>
      <c r="R247" s="0" t="s">
        <v>750</v>
      </c>
      <c r="S247" s="0" t="s">
        <v>1293</v>
      </c>
    </row>
    <row r="248" customFormat="false" ht="15" hidden="false" customHeight="false" outlineLevel="0" collapsed="false">
      <c r="A248" s="0" t="s">
        <v>1425</v>
      </c>
      <c r="B248" s="0" t="s">
        <v>1426</v>
      </c>
      <c r="C248" s="0" t="n">
        <v>1</v>
      </c>
      <c r="D248" s="0" t="n">
        <v>943</v>
      </c>
      <c r="E248" s="0" t="n">
        <v>2</v>
      </c>
      <c r="F248" s="0" t="n">
        <v>1039</v>
      </c>
      <c r="G248" s="0" t="n">
        <v>0.0845436614667383</v>
      </c>
      <c r="H248" s="0" t="n">
        <v>0.893011335525598</v>
      </c>
      <c r="I248" s="0" t="n">
        <v>0.893011335525598</v>
      </c>
      <c r="J248" s="0" t="n">
        <v>4</v>
      </c>
      <c r="K248" s="0" t="n">
        <v>260</v>
      </c>
      <c r="L248" s="0" t="n">
        <v>0.0218799966338466</v>
      </c>
      <c r="M248" s="0" t="n">
        <v>9606</v>
      </c>
      <c r="N248" s="0" t="s">
        <v>709</v>
      </c>
      <c r="O248" s="0" t="s">
        <v>235</v>
      </c>
      <c r="P248" s="0" t="s">
        <v>235</v>
      </c>
      <c r="Q248" s="0" t="s">
        <v>579</v>
      </c>
      <c r="R248" s="0" t="s">
        <v>547</v>
      </c>
      <c r="S248" s="0" t="s">
        <v>749</v>
      </c>
      <c r="T248" s="0" t="s">
        <v>807</v>
      </c>
      <c r="U248" s="0" t="s">
        <v>1427</v>
      </c>
    </row>
    <row r="249" customFormat="false" ht="15" hidden="false" customHeight="false" outlineLevel="0" collapsed="false">
      <c r="A249" s="0" t="s">
        <v>1428</v>
      </c>
      <c r="B249" s="0" t="s">
        <v>1429</v>
      </c>
      <c r="C249" s="0" t="n">
        <v>0</v>
      </c>
      <c r="D249" s="0" t="n">
        <v>295</v>
      </c>
      <c r="E249" s="0" t="n">
        <v>1</v>
      </c>
      <c r="F249" s="0" t="n">
        <v>541</v>
      </c>
      <c r="G249" s="0" t="n">
        <v>0.0264479110632956</v>
      </c>
      <c r="H249" s="0" t="n">
        <v>0.89613262560444</v>
      </c>
      <c r="I249" s="0" t="n">
        <v>0.89613262560444</v>
      </c>
      <c r="J249" s="0" t="n">
        <v>1</v>
      </c>
      <c r="K249" s="0" t="n">
        <v>112</v>
      </c>
      <c r="L249" s="0" t="n">
        <v>0.00942522931919549</v>
      </c>
      <c r="M249" s="0" t="n">
        <v>9606</v>
      </c>
      <c r="N249" s="0" t="s">
        <v>709</v>
      </c>
      <c r="Q249" s="0" t="s">
        <v>547</v>
      </c>
      <c r="R249" s="0" t="s">
        <v>1048</v>
      </c>
      <c r="S249" s="0" t="s">
        <v>1191</v>
      </c>
    </row>
    <row r="250" customFormat="false" ht="15" hidden="false" customHeight="false" outlineLevel="0" collapsed="false">
      <c r="A250" s="0" t="s">
        <v>1430</v>
      </c>
      <c r="B250" s="0" t="s">
        <v>1431</v>
      </c>
      <c r="C250" s="0" t="n">
        <v>0</v>
      </c>
      <c r="D250" s="0" t="n">
        <v>37</v>
      </c>
      <c r="E250" s="0" t="n">
        <v>1</v>
      </c>
      <c r="F250" s="0" t="n">
        <v>795</v>
      </c>
      <c r="G250" s="0" t="n">
        <v>0.00331719562488793</v>
      </c>
      <c r="H250" s="0" t="n">
        <v>0.902310944335429</v>
      </c>
      <c r="I250" s="0" t="n">
        <v>0.902310944335429</v>
      </c>
      <c r="J250" s="0" t="n">
        <v>1</v>
      </c>
      <c r="K250" s="0" t="n">
        <v>44</v>
      </c>
      <c r="L250" s="0" t="n">
        <v>0.00370276866111251</v>
      </c>
      <c r="M250" s="0" t="n">
        <v>9606</v>
      </c>
      <c r="N250" s="0" t="s">
        <v>709</v>
      </c>
      <c r="Q250" s="0" t="s">
        <v>562</v>
      </c>
      <c r="R250" s="0" t="s">
        <v>763</v>
      </c>
      <c r="S250" s="0" t="s">
        <v>1432</v>
      </c>
    </row>
    <row r="251" customFormat="false" ht="15" hidden="false" customHeight="false" outlineLevel="0" collapsed="false">
      <c r="A251" s="0" t="s">
        <v>1433</v>
      </c>
      <c r="B251" s="0" t="s">
        <v>1434</v>
      </c>
      <c r="C251" s="0" t="n">
        <v>1</v>
      </c>
      <c r="D251" s="0" t="n">
        <v>504</v>
      </c>
      <c r="E251" s="0" t="n">
        <v>1</v>
      </c>
      <c r="F251" s="0" t="n">
        <v>1013</v>
      </c>
      <c r="G251" s="0" t="n">
        <v>0.0451855836471221</v>
      </c>
      <c r="H251" s="0" t="n">
        <v>0.905486931487849</v>
      </c>
      <c r="I251" s="0" t="n">
        <v>0.905486931487849</v>
      </c>
      <c r="J251" s="0" t="n">
        <v>3</v>
      </c>
      <c r="K251" s="0" t="n">
        <v>266</v>
      </c>
      <c r="L251" s="0" t="n">
        <v>0.0223849196330892</v>
      </c>
      <c r="M251" s="0" t="n">
        <v>9606</v>
      </c>
      <c r="N251" s="0" t="s">
        <v>709</v>
      </c>
      <c r="O251" s="0" t="s">
        <v>563</v>
      </c>
      <c r="P251" s="0" t="s">
        <v>563</v>
      </c>
      <c r="Q251" s="0" t="s">
        <v>579</v>
      </c>
      <c r="R251" s="0" t="s">
        <v>742</v>
      </c>
      <c r="S251" s="0" t="s">
        <v>1402</v>
      </c>
    </row>
    <row r="252" customFormat="false" ht="15" hidden="false" customHeight="false" outlineLevel="0" collapsed="false">
      <c r="A252" s="0" t="s">
        <v>1435</v>
      </c>
      <c r="B252" s="0" t="s">
        <v>1436</v>
      </c>
      <c r="C252" s="0" t="n">
        <v>0</v>
      </c>
      <c r="D252" s="0" t="n">
        <v>22</v>
      </c>
      <c r="E252" s="0" t="n">
        <v>1</v>
      </c>
      <c r="F252" s="0" t="n">
        <v>822</v>
      </c>
      <c r="G252" s="0" t="n">
        <v>0.0019723865877712</v>
      </c>
      <c r="H252" s="0" t="n">
        <v>0.906775391766646</v>
      </c>
      <c r="I252" s="0" t="n">
        <v>0.906775391766646</v>
      </c>
      <c r="J252" s="0" t="n">
        <v>2</v>
      </c>
      <c r="K252" s="0" t="n">
        <v>22</v>
      </c>
      <c r="L252" s="0" t="n">
        <v>0.00185138433055625</v>
      </c>
      <c r="M252" s="0" t="n">
        <v>9606</v>
      </c>
      <c r="N252" s="0" t="s">
        <v>709</v>
      </c>
      <c r="Q252" s="0" t="s">
        <v>566</v>
      </c>
      <c r="R252" s="0" t="s">
        <v>916</v>
      </c>
      <c r="S252" s="0" t="s">
        <v>1437</v>
      </c>
    </row>
    <row r="253" customFormat="false" ht="15" hidden="false" customHeight="false" outlineLevel="0" collapsed="false">
      <c r="A253" s="0" t="s">
        <v>1438</v>
      </c>
      <c r="B253" s="0" t="s">
        <v>1439</v>
      </c>
      <c r="C253" s="0" t="n">
        <v>0</v>
      </c>
      <c r="D253" s="0" t="n">
        <v>22</v>
      </c>
      <c r="E253" s="0" t="n">
        <v>1</v>
      </c>
      <c r="F253" s="0" t="n">
        <v>822</v>
      </c>
      <c r="G253" s="0" t="n">
        <v>0.0019723865877712</v>
      </c>
      <c r="H253" s="0" t="n">
        <v>0.906775391766646</v>
      </c>
      <c r="I253" s="0" t="n">
        <v>0.906775391766646</v>
      </c>
      <c r="J253" s="0" t="n">
        <v>2</v>
      </c>
      <c r="K253" s="0" t="n">
        <v>22</v>
      </c>
      <c r="L253" s="0" t="n">
        <v>0.00185138433055625</v>
      </c>
      <c r="M253" s="0" t="n">
        <v>9606</v>
      </c>
      <c r="N253" s="0" t="s">
        <v>709</v>
      </c>
      <c r="Q253" s="0" t="s">
        <v>566</v>
      </c>
      <c r="R253" s="0" t="s">
        <v>916</v>
      </c>
      <c r="S253" s="0" t="s">
        <v>1437</v>
      </c>
    </row>
    <row r="254" customFormat="false" ht="15" hidden="false" customHeight="false" outlineLevel="0" collapsed="false">
      <c r="A254" s="0" t="s">
        <v>1440</v>
      </c>
      <c r="B254" s="0" t="s">
        <v>1441</v>
      </c>
      <c r="C254" s="0" t="n">
        <v>0</v>
      </c>
      <c r="D254" s="0" t="n">
        <v>248</v>
      </c>
      <c r="E254" s="0" t="n">
        <v>1</v>
      </c>
      <c r="F254" s="0" t="n">
        <v>678</v>
      </c>
      <c r="G254" s="0" t="n">
        <v>0.0222341760803299</v>
      </c>
      <c r="H254" s="0" t="n">
        <v>0.917807407680444</v>
      </c>
      <c r="I254" s="0" t="n">
        <v>0.917807407680444</v>
      </c>
      <c r="J254" s="0" t="n">
        <v>1</v>
      </c>
      <c r="K254" s="0" t="n">
        <v>157</v>
      </c>
      <c r="L254" s="0" t="n">
        <v>0.0132121518135151</v>
      </c>
      <c r="M254" s="0" t="n">
        <v>9606</v>
      </c>
      <c r="N254" s="0" t="s">
        <v>709</v>
      </c>
      <c r="Q254" s="0" t="s">
        <v>547</v>
      </c>
      <c r="R254" s="0" t="s">
        <v>749</v>
      </c>
      <c r="S254" s="0" t="s">
        <v>1206</v>
      </c>
    </row>
    <row r="255" customFormat="false" ht="15" hidden="false" customHeight="false" outlineLevel="0" collapsed="false">
      <c r="A255" s="0" t="s">
        <v>1442</v>
      </c>
      <c r="B255" s="0" t="s">
        <v>1443</v>
      </c>
      <c r="C255" s="0" t="n">
        <v>0</v>
      </c>
      <c r="D255" s="0" t="n">
        <v>120</v>
      </c>
      <c r="E255" s="0" t="n">
        <v>1</v>
      </c>
      <c r="F255" s="0" t="n">
        <v>791</v>
      </c>
      <c r="G255" s="0" t="n">
        <v>0.0107584722969338</v>
      </c>
      <c r="H255" s="0" t="n">
        <v>0.918766148835829</v>
      </c>
      <c r="I255" s="0" t="n">
        <v>0.918766148835829</v>
      </c>
      <c r="J255" s="0" t="n">
        <v>1</v>
      </c>
      <c r="K255" s="0" t="n">
        <v>64</v>
      </c>
      <c r="L255" s="0" t="n">
        <v>0.00538584532525456</v>
      </c>
      <c r="M255" s="0" t="n">
        <v>9606</v>
      </c>
      <c r="N255" s="0" t="s">
        <v>709</v>
      </c>
      <c r="Q255" s="0" t="s">
        <v>547</v>
      </c>
      <c r="R255" s="0" t="s">
        <v>815</v>
      </c>
      <c r="S255" s="0" t="s">
        <v>1444</v>
      </c>
    </row>
    <row r="256" customFormat="false" ht="15" hidden="false" customHeight="false" outlineLevel="0" collapsed="false">
      <c r="A256" s="0" t="s">
        <v>1445</v>
      </c>
      <c r="B256" s="0" t="s">
        <v>1446</v>
      </c>
      <c r="C256" s="0" t="n">
        <v>0</v>
      </c>
      <c r="D256" s="0" t="n">
        <v>426</v>
      </c>
      <c r="E256" s="0" t="n">
        <v>1</v>
      </c>
      <c r="F256" s="0" t="n">
        <v>541</v>
      </c>
      <c r="G256" s="0" t="n">
        <v>0.0381925766541151</v>
      </c>
      <c r="H256" s="0" t="n">
        <v>0.927983285046139</v>
      </c>
      <c r="I256" s="0" t="n">
        <v>0.927983285046139</v>
      </c>
      <c r="J256" s="0" t="n">
        <v>1</v>
      </c>
      <c r="K256" s="0" t="n">
        <v>117</v>
      </c>
      <c r="L256" s="0" t="n">
        <v>0.009845998485231</v>
      </c>
      <c r="M256" s="0" t="n">
        <v>9606</v>
      </c>
      <c r="N256" s="0" t="s">
        <v>709</v>
      </c>
      <c r="Q256" s="0" t="s">
        <v>547</v>
      </c>
      <c r="R256" s="0" t="s">
        <v>1048</v>
      </c>
      <c r="S256" s="0" t="s">
        <v>1191</v>
      </c>
    </row>
    <row r="257" customFormat="false" ht="15" hidden="false" customHeight="false" outlineLevel="0" collapsed="false">
      <c r="A257" s="0" t="s">
        <v>1447</v>
      </c>
      <c r="B257" s="0" t="s">
        <v>1448</v>
      </c>
      <c r="C257" s="0" t="n">
        <v>6</v>
      </c>
      <c r="D257" s="0" t="n">
        <v>2134</v>
      </c>
      <c r="E257" s="0" t="n">
        <v>4</v>
      </c>
      <c r="F257" s="0" t="n">
        <v>1999</v>
      </c>
      <c r="G257" s="0" t="n">
        <v>0.191321499013806</v>
      </c>
      <c r="H257" s="0" t="n">
        <v>0.938560320567897</v>
      </c>
      <c r="I257" s="0" t="n">
        <v>0.938560320567897</v>
      </c>
      <c r="J257" s="0" t="n">
        <v>14</v>
      </c>
      <c r="K257" s="0" t="n">
        <v>1981</v>
      </c>
      <c r="L257" s="0" t="n">
        <v>0.16670874358327</v>
      </c>
      <c r="M257" s="0" t="n">
        <v>9606</v>
      </c>
      <c r="N257" s="0" t="s">
        <v>709</v>
      </c>
      <c r="O257" s="0" t="s">
        <v>1449</v>
      </c>
      <c r="P257" s="0" t="s">
        <v>1449</v>
      </c>
      <c r="Q257" s="0" t="s">
        <v>566</v>
      </c>
      <c r="R257" s="0" t="s">
        <v>558</v>
      </c>
      <c r="S257" s="0" t="s">
        <v>562</v>
      </c>
      <c r="T257" s="0" t="s">
        <v>335</v>
      </c>
      <c r="U257" s="0" t="s">
        <v>566</v>
      </c>
      <c r="V257" s="0" t="s">
        <v>763</v>
      </c>
      <c r="W257" s="0" t="s">
        <v>952</v>
      </c>
      <c r="X257" s="0" t="s">
        <v>764</v>
      </c>
      <c r="Y257" s="0" t="s">
        <v>1450</v>
      </c>
    </row>
    <row r="258" customFormat="false" ht="15" hidden="false" customHeight="false" outlineLevel="0" collapsed="false">
      <c r="A258" s="0" t="s">
        <v>1451</v>
      </c>
      <c r="B258" s="0" t="s">
        <v>1452</v>
      </c>
      <c r="C258" s="0" t="n">
        <v>0</v>
      </c>
      <c r="D258" s="0" t="n">
        <v>174</v>
      </c>
      <c r="E258" s="0" t="n">
        <v>2</v>
      </c>
      <c r="F258" s="0" t="n">
        <v>1533</v>
      </c>
      <c r="G258" s="0" t="n">
        <v>0.015599784830554</v>
      </c>
      <c r="H258" s="0" t="n">
        <v>0.946985526284267</v>
      </c>
      <c r="I258" s="0" t="n">
        <v>0.946985526284267</v>
      </c>
      <c r="J258" s="0" t="n">
        <v>2</v>
      </c>
      <c r="K258" s="0" t="n">
        <v>130</v>
      </c>
      <c r="L258" s="0" t="n">
        <v>0.0109399983169233</v>
      </c>
      <c r="M258" s="0" t="n">
        <v>9606</v>
      </c>
      <c r="N258" s="0" t="s">
        <v>709</v>
      </c>
      <c r="Q258" s="0" t="s">
        <v>547</v>
      </c>
      <c r="R258" s="0" t="s">
        <v>579</v>
      </c>
      <c r="S258" s="0" t="s">
        <v>1003</v>
      </c>
      <c r="T258" s="0" t="s">
        <v>1056</v>
      </c>
      <c r="U258" s="0" t="s">
        <v>1453</v>
      </c>
    </row>
    <row r="259" customFormat="false" ht="15" hidden="false" customHeight="false" outlineLevel="0" collapsed="false">
      <c r="A259" s="0" t="s">
        <v>1454</v>
      </c>
      <c r="B259" s="0" t="s">
        <v>1455</v>
      </c>
      <c r="C259" s="0" t="n">
        <v>0</v>
      </c>
      <c r="D259" s="0" t="n">
        <v>314</v>
      </c>
      <c r="E259" s="0" t="n">
        <v>1</v>
      </c>
      <c r="F259" s="0" t="n">
        <v>769</v>
      </c>
      <c r="G259" s="0" t="n">
        <v>0.0281513358436435</v>
      </c>
      <c r="H259" s="0" t="n">
        <v>0.947638430078395</v>
      </c>
      <c r="I259" s="0" t="n">
        <v>0.947638430078395</v>
      </c>
      <c r="J259" s="0" t="n">
        <v>2</v>
      </c>
      <c r="K259" s="0" t="n">
        <v>113</v>
      </c>
      <c r="L259" s="0" t="n">
        <v>0.00950938315240259</v>
      </c>
      <c r="M259" s="0" t="n">
        <v>9606</v>
      </c>
      <c r="N259" s="0" t="s">
        <v>709</v>
      </c>
      <c r="Q259" s="0" t="s">
        <v>547</v>
      </c>
      <c r="R259" s="0" t="s">
        <v>815</v>
      </c>
      <c r="S259" s="0" t="s">
        <v>1045</v>
      </c>
    </row>
    <row r="260" customFormat="false" ht="15" hidden="false" customHeight="false" outlineLevel="0" collapsed="false">
      <c r="A260" s="0" t="s">
        <v>1456</v>
      </c>
      <c r="B260" s="0" t="s">
        <v>1457</v>
      </c>
      <c r="C260" s="0" t="n">
        <v>0</v>
      </c>
      <c r="D260" s="0" t="n">
        <v>180</v>
      </c>
      <c r="E260" s="0" t="n">
        <v>2</v>
      </c>
      <c r="F260" s="0" t="n">
        <v>1569</v>
      </c>
      <c r="G260" s="0" t="n">
        <v>0.0161377084454007</v>
      </c>
      <c r="H260" s="0" t="n">
        <v>0.951572078674716</v>
      </c>
      <c r="I260" s="0" t="n">
        <v>0.951572078674716</v>
      </c>
      <c r="J260" s="0" t="n">
        <v>2</v>
      </c>
      <c r="K260" s="0" t="n">
        <v>139</v>
      </c>
      <c r="L260" s="0" t="n">
        <v>0.0116973828157872</v>
      </c>
      <c r="M260" s="0" t="n">
        <v>9606</v>
      </c>
      <c r="N260" s="0" t="s">
        <v>709</v>
      </c>
      <c r="Q260" s="0" t="s">
        <v>547</v>
      </c>
      <c r="R260" s="0" t="s">
        <v>579</v>
      </c>
      <c r="S260" s="0" t="s">
        <v>1003</v>
      </c>
      <c r="T260" s="0" t="s">
        <v>1056</v>
      </c>
      <c r="U260" s="0" t="s">
        <v>1453</v>
      </c>
    </row>
    <row r="261" customFormat="false" ht="15" hidden="false" customHeight="false" outlineLevel="0" collapsed="false">
      <c r="A261" s="0" t="s">
        <v>1458</v>
      </c>
      <c r="B261" s="0" t="s">
        <v>1459</v>
      </c>
      <c r="C261" s="0" t="n">
        <v>1</v>
      </c>
      <c r="D261" s="0" t="n">
        <v>403</v>
      </c>
      <c r="E261" s="0" t="n">
        <v>0</v>
      </c>
      <c r="F261" s="0" t="n">
        <v>785</v>
      </c>
      <c r="G261" s="0" t="n">
        <v>0.0361305361305361</v>
      </c>
      <c r="H261" s="0" t="n">
        <v>0.956046282040957</v>
      </c>
      <c r="I261" s="0" t="n">
        <v>0.956046282040957</v>
      </c>
      <c r="J261" s="0" t="n">
        <v>20</v>
      </c>
      <c r="K261" s="0" t="n">
        <v>283</v>
      </c>
      <c r="L261" s="0" t="n">
        <v>0.02381553479761</v>
      </c>
      <c r="M261" s="0" t="n">
        <v>9606</v>
      </c>
      <c r="N261" s="0" t="s">
        <v>709</v>
      </c>
      <c r="O261" s="0" t="s">
        <v>547</v>
      </c>
      <c r="P261" s="0" t="s">
        <v>547</v>
      </c>
      <c r="S261" s="0" t="s">
        <v>1088</v>
      </c>
    </row>
    <row r="262" customFormat="false" ht="15" hidden="false" customHeight="false" outlineLevel="0" collapsed="false">
      <c r="A262" s="0" t="s">
        <v>1460</v>
      </c>
      <c r="B262" s="0" t="s">
        <v>1461</v>
      </c>
      <c r="C262" s="0" t="n">
        <v>0</v>
      </c>
      <c r="D262" s="0" t="n">
        <v>312</v>
      </c>
      <c r="E262" s="0" t="n">
        <v>1</v>
      </c>
      <c r="F262" s="0" t="n">
        <v>924</v>
      </c>
      <c r="G262" s="0" t="n">
        <v>0.0279720279720279</v>
      </c>
      <c r="H262" s="0" t="n">
        <v>0.959799260744086</v>
      </c>
      <c r="I262" s="0" t="n">
        <v>0.959799260744086</v>
      </c>
      <c r="J262" s="0" t="n">
        <v>2</v>
      </c>
      <c r="K262" s="0" t="n">
        <v>325</v>
      </c>
      <c r="L262" s="0" t="n">
        <v>0.0273499957923083</v>
      </c>
      <c r="M262" s="0" t="n">
        <v>9606</v>
      </c>
      <c r="N262" s="0" t="s">
        <v>709</v>
      </c>
      <c r="Q262" s="0" t="s">
        <v>547</v>
      </c>
      <c r="R262" s="0" t="s">
        <v>815</v>
      </c>
      <c r="S262" s="0" t="s">
        <v>1077</v>
      </c>
    </row>
    <row r="263" customFormat="false" ht="15" hidden="false" customHeight="false" outlineLevel="0" collapsed="false">
      <c r="A263" s="0" t="s">
        <v>1462</v>
      </c>
      <c r="B263" s="0" t="s">
        <v>1463</v>
      </c>
      <c r="C263" s="0" t="n">
        <v>1</v>
      </c>
      <c r="D263" s="0" t="n">
        <v>639</v>
      </c>
      <c r="E263" s="0" t="n">
        <v>2</v>
      </c>
      <c r="F263" s="0" t="n">
        <v>1860</v>
      </c>
      <c r="G263" s="0" t="n">
        <v>0.0572888649811726</v>
      </c>
      <c r="H263" s="0" t="n">
        <v>0.95987044003141</v>
      </c>
      <c r="I263" s="0" t="n">
        <v>0.95987044003141</v>
      </c>
      <c r="J263" s="0" t="n">
        <v>8</v>
      </c>
      <c r="K263" s="0" t="n">
        <v>551</v>
      </c>
      <c r="L263" s="0" t="n">
        <v>0.0463687620971135</v>
      </c>
      <c r="M263" s="0" t="n">
        <v>9606</v>
      </c>
      <c r="N263" s="0" t="s">
        <v>709</v>
      </c>
      <c r="O263" s="0" t="s">
        <v>547</v>
      </c>
      <c r="P263" s="0" t="s">
        <v>547</v>
      </c>
      <c r="Q263" s="0" t="s">
        <v>579</v>
      </c>
      <c r="R263" s="0" t="s">
        <v>547</v>
      </c>
      <c r="S263" s="0" t="s">
        <v>742</v>
      </c>
      <c r="T263" s="0" t="s">
        <v>749</v>
      </c>
      <c r="U263" s="0" t="s">
        <v>1464</v>
      </c>
    </row>
    <row r="264" customFormat="false" ht="15" hidden="false" customHeight="false" outlineLevel="0" collapsed="false">
      <c r="A264" s="0" t="s">
        <v>1465</v>
      </c>
      <c r="B264" s="0" t="s">
        <v>1466</v>
      </c>
      <c r="C264" s="0" t="n">
        <v>0</v>
      </c>
      <c r="D264" s="0" t="n">
        <v>463</v>
      </c>
      <c r="E264" s="0" t="n">
        <v>1</v>
      </c>
      <c r="F264" s="0" t="n">
        <v>1044</v>
      </c>
      <c r="G264" s="0" t="n">
        <v>0.041509772279003</v>
      </c>
      <c r="H264" s="0" t="n">
        <v>0.983438263850188</v>
      </c>
      <c r="I264" s="0" t="n">
        <v>0.983438263850188</v>
      </c>
      <c r="J264" s="0" t="n">
        <v>1</v>
      </c>
      <c r="K264" s="0" t="n">
        <v>321</v>
      </c>
      <c r="L264" s="0" t="n">
        <v>0.0270133804594799</v>
      </c>
      <c r="M264" s="0" t="n">
        <v>9606</v>
      </c>
      <c r="N264" s="0" t="s">
        <v>709</v>
      </c>
      <c r="Q264" s="0" t="s">
        <v>547</v>
      </c>
      <c r="R264" s="0" t="s">
        <v>749</v>
      </c>
      <c r="S264" s="0" t="s">
        <v>1206</v>
      </c>
    </row>
    <row r="265" customFormat="false" ht="15" hidden="false" customHeight="false" outlineLevel="0" collapsed="false">
      <c r="A265" s="0" t="s">
        <v>1467</v>
      </c>
      <c r="B265" s="0" t="s">
        <v>1468</v>
      </c>
      <c r="C265" s="0" t="n">
        <v>1</v>
      </c>
      <c r="D265" s="0" t="n">
        <v>953</v>
      </c>
      <c r="E265" s="0" t="n">
        <v>2</v>
      </c>
      <c r="F265" s="0" t="n">
        <v>2301</v>
      </c>
      <c r="G265" s="0" t="n">
        <v>0.0854402008248162</v>
      </c>
      <c r="H265" s="0" t="n">
        <v>0.99241353771133</v>
      </c>
      <c r="I265" s="0" t="n">
        <v>0.99241353771133</v>
      </c>
      <c r="J265" s="0" t="n">
        <v>8</v>
      </c>
      <c r="K265" s="0" t="n">
        <v>699</v>
      </c>
      <c r="L265" s="0" t="n">
        <v>0.0588235294117647</v>
      </c>
      <c r="M265" s="0" t="n">
        <v>9606</v>
      </c>
      <c r="N265" s="0" t="s">
        <v>709</v>
      </c>
      <c r="O265" s="0" t="s">
        <v>547</v>
      </c>
      <c r="P265" s="0" t="s">
        <v>547</v>
      </c>
      <c r="Q265" s="0" t="s">
        <v>579</v>
      </c>
      <c r="R265" s="0" t="s">
        <v>547</v>
      </c>
      <c r="S265" s="0" t="s">
        <v>742</v>
      </c>
      <c r="T265" s="0" t="s">
        <v>749</v>
      </c>
      <c r="U265" s="0" t="s">
        <v>1464</v>
      </c>
    </row>
    <row r="266" customFormat="false" ht="15" hidden="false" customHeight="false" outlineLevel="0" collapsed="false">
      <c r="A266" s="0" t="s">
        <v>1469</v>
      </c>
      <c r="B266" s="0" t="s">
        <v>1470</v>
      </c>
      <c r="C266" s="0" t="n">
        <v>0</v>
      </c>
      <c r="D266" s="0" t="n">
        <v>557</v>
      </c>
      <c r="E266" s="0" t="n">
        <v>1</v>
      </c>
      <c r="F266" s="0" t="n">
        <v>1350</v>
      </c>
      <c r="G266" s="0" t="n">
        <v>0.0499372422449345</v>
      </c>
      <c r="H266" s="0" t="n">
        <v>0.994766322551823</v>
      </c>
      <c r="I266" s="0" t="n">
        <v>0.994766322551823</v>
      </c>
      <c r="J266" s="0" t="n">
        <v>2</v>
      </c>
      <c r="K266" s="0" t="n">
        <v>296</v>
      </c>
      <c r="L266" s="0" t="n">
        <v>0.0249095346293023</v>
      </c>
      <c r="M266" s="0" t="n">
        <v>9606</v>
      </c>
      <c r="N266" s="0" t="s">
        <v>709</v>
      </c>
      <c r="Q266" s="0" t="s">
        <v>547</v>
      </c>
      <c r="R266" s="0" t="s">
        <v>749</v>
      </c>
      <c r="S266" s="0" t="s">
        <v>1471</v>
      </c>
    </row>
    <row r="267" customFormat="false" ht="15" hidden="false" customHeight="false" outlineLevel="0" collapsed="false">
      <c r="A267" s="0" t="s">
        <v>1472</v>
      </c>
      <c r="B267" s="0" t="s">
        <v>1473</v>
      </c>
      <c r="C267" s="0" t="n">
        <v>2</v>
      </c>
      <c r="D267" s="0" t="n">
        <v>1181</v>
      </c>
      <c r="E267" s="0" t="n">
        <v>2</v>
      </c>
      <c r="F267" s="0" t="n">
        <v>2523</v>
      </c>
      <c r="G267" s="0" t="n">
        <v>0.10588129818899</v>
      </c>
      <c r="H267" s="0" t="n">
        <v>0.997924517647958</v>
      </c>
      <c r="I267" s="0" t="n">
        <v>0.997924517647958</v>
      </c>
      <c r="J267" s="0" t="n">
        <v>24</v>
      </c>
      <c r="K267" s="0" t="n">
        <v>945</v>
      </c>
      <c r="L267" s="0" t="n">
        <v>0.0795253723807119</v>
      </c>
      <c r="M267" s="0" t="n">
        <v>9606</v>
      </c>
      <c r="N267" s="0" t="s">
        <v>709</v>
      </c>
      <c r="O267" s="0" t="s">
        <v>1474</v>
      </c>
      <c r="P267" s="0" t="s">
        <v>1474</v>
      </c>
      <c r="Q267" s="0" t="s">
        <v>566</v>
      </c>
      <c r="R267" s="0" t="s">
        <v>547</v>
      </c>
      <c r="S267" s="0" t="s">
        <v>749</v>
      </c>
      <c r="T267" s="0" t="s">
        <v>916</v>
      </c>
      <c r="U267" s="0" t="s">
        <v>1475</v>
      </c>
    </row>
    <row r="268" customFormat="false" ht="15" hidden="false" customHeight="false" outlineLevel="0" collapsed="false">
      <c r="A268" s="0" t="s">
        <v>1476</v>
      </c>
      <c r="B268" s="0" t="s">
        <v>1477</v>
      </c>
      <c r="C268" s="0" t="n">
        <v>0</v>
      </c>
      <c r="D268" s="0" t="n">
        <v>1233</v>
      </c>
      <c r="E268" s="0" t="n">
        <v>4</v>
      </c>
      <c r="F268" s="0" t="n">
        <v>3269</v>
      </c>
      <c r="G268" s="0" t="n">
        <v>0.110543302850995</v>
      </c>
      <c r="H268" s="0" t="n">
        <v>0.998502643051793</v>
      </c>
      <c r="I268" s="0" t="n">
        <v>0.998502643051793</v>
      </c>
      <c r="J268" s="0" t="n">
        <v>6</v>
      </c>
      <c r="K268" s="0" t="n">
        <v>810</v>
      </c>
      <c r="L268" s="0" t="n">
        <v>0.0681646048977531</v>
      </c>
      <c r="M268" s="0" t="n">
        <v>9606</v>
      </c>
      <c r="N268" s="0" t="s">
        <v>709</v>
      </c>
      <c r="Q268" s="0" t="s">
        <v>547</v>
      </c>
      <c r="R268" s="0" t="s">
        <v>297</v>
      </c>
      <c r="S268" s="0" t="s">
        <v>562</v>
      </c>
      <c r="T268" s="0" t="s">
        <v>579</v>
      </c>
      <c r="U268" s="0" t="s">
        <v>1003</v>
      </c>
      <c r="V268" s="0" t="s">
        <v>907</v>
      </c>
      <c r="W268" s="0" t="s">
        <v>1232</v>
      </c>
      <c r="X268" s="0" t="s">
        <v>763</v>
      </c>
      <c r="Y268" s="0" t="s">
        <v>750</v>
      </c>
      <c r="Z268" s="0" t="s">
        <v>924</v>
      </c>
      <c r="AA268" s="0" t="s">
        <v>1478</v>
      </c>
    </row>
    <row r="269" customFormat="false" ht="15" hidden="false" customHeight="false" outlineLevel="0" collapsed="false">
      <c r="A269" s="0" t="s">
        <v>1479</v>
      </c>
      <c r="B269" s="0" t="s">
        <v>1480</v>
      </c>
      <c r="C269" s="0" t="n">
        <v>0</v>
      </c>
      <c r="D269" s="0" t="n">
        <v>1355</v>
      </c>
      <c r="E269" s="0" t="n">
        <v>4</v>
      </c>
      <c r="F269" s="0" t="n">
        <v>3386</v>
      </c>
      <c r="G269" s="0" t="n">
        <v>0.121481083019544</v>
      </c>
      <c r="H269" s="0" t="n">
        <v>0.999098586202047</v>
      </c>
      <c r="I269" s="0" t="n">
        <v>0.999098586202047</v>
      </c>
      <c r="J269" s="0" t="n">
        <v>6</v>
      </c>
      <c r="K269" s="0" t="n">
        <v>871</v>
      </c>
      <c r="L269" s="0" t="n">
        <v>0.0732979887233863</v>
      </c>
      <c r="M269" s="0" t="n">
        <v>9606</v>
      </c>
      <c r="N269" s="0" t="s">
        <v>709</v>
      </c>
      <c r="Q269" s="0" t="s">
        <v>547</v>
      </c>
      <c r="R269" s="0" t="s">
        <v>297</v>
      </c>
      <c r="S269" s="0" t="s">
        <v>562</v>
      </c>
      <c r="T269" s="0" t="s">
        <v>579</v>
      </c>
      <c r="U269" s="0" t="s">
        <v>1003</v>
      </c>
      <c r="V269" s="0" t="s">
        <v>907</v>
      </c>
      <c r="W269" s="0" t="s">
        <v>1232</v>
      </c>
      <c r="X269" s="0" t="s">
        <v>763</v>
      </c>
      <c r="Y269" s="0" t="s">
        <v>750</v>
      </c>
      <c r="Z269" s="0" t="s">
        <v>924</v>
      </c>
      <c r="AA269" s="0" t="s">
        <v>1478</v>
      </c>
    </row>
    <row r="270" customFormat="false" ht="15" hidden="false" customHeight="false" outlineLevel="0" collapsed="false">
      <c r="A270" s="0" t="s">
        <v>1481</v>
      </c>
      <c r="B270" s="0" t="s">
        <v>1482</v>
      </c>
      <c r="C270" s="0" t="n">
        <v>0</v>
      </c>
      <c r="D270" s="0" t="n">
        <v>1497</v>
      </c>
      <c r="E270" s="0" t="n">
        <v>4</v>
      </c>
      <c r="F270" s="0" t="n">
        <v>3565</v>
      </c>
      <c r="G270" s="0" t="n">
        <v>0.134211941904249</v>
      </c>
      <c r="H270" s="0" t="n">
        <v>0.999572741068045</v>
      </c>
      <c r="I270" s="0" t="n">
        <v>0.999572741068045</v>
      </c>
      <c r="J270" s="0" t="n">
        <v>6</v>
      </c>
      <c r="K270" s="0" t="n">
        <v>981</v>
      </c>
      <c r="L270" s="0" t="n">
        <v>0.0825549103761676</v>
      </c>
      <c r="M270" s="0" t="n">
        <v>9606</v>
      </c>
      <c r="N270" s="0" t="s">
        <v>709</v>
      </c>
      <c r="Q270" s="0" t="s">
        <v>547</v>
      </c>
      <c r="R270" s="0" t="s">
        <v>297</v>
      </c>
      <c r="S270" s="0" t="s">
        <v>562</v>
      </c>
      <c r="T270" s="0" t="s">
        <v>579</v>
      </c>
      <c r="U270" s="0" t="s">
        <v>1003</v>
      </c>
      <c r="V270" s="0" t="s">
        <v>907</v>
      </c>
      <c r="W270" s="0" t="s">
        <v>1232</v>
      </c>
      <c r="X270" s="0" t="s">
        <v>763</v>
      </c>
      <c r="Y270" s="0" t="s">
        <v>750</v>
      </c>
      <c r="Z270" s="0" t="s">
        <v>924</v>
      </c>
      <c r="AA270" s="0" t="s">
        <v>1478</v>
      </c>
    </row>
    <row r="271" customFormat="false" ht="15" hidden="false" customHeight="false" outlineLevel="0" collapsed="false">
      <c r="A271" s="0" t="s">
        <v>1483</v>
      </c>
      <c r="B271" s="0" t="s">
        <v>1484</v>
      </c>
      <c r="C271" s="0" t="n">
        <v>0</v>
      </c>
      <c r="D271" s="0" t="n">
        <v>1075</v>
      </c>
      <c r="E271" s="0" t="n">
        <v>2</v>
      </c>
      <c r="F271" s="0" t="n">
        <v>2579</v>
      </c>
      <c r="G271" s="0" t="n">
        <v>0.0963779809933656</v>
      </c>
      <c r="H271" s="0" t="n">
        <v>0.999594669919718</v>
      </c>
      <c r="I271" s="0" t="n">
        <v>0.999594669919718</v>
      </c>
      <c r="J271" s="0" t="n">
        <v>4</v>
      </c>
      <c r="K271" s="0" t="n">
        <v>510</v>
      </c>
      <c r="L271" s="0" t="n">
        <v>0.0429184549356223</v>
      </c>
      <c r="M271" s="0" t="n">
        <v>9606</v>
      </c>
      <c r="N271" s="0" t="s">
        <v>709</v>
      </c>
      <c r="Q271" s="0" t="s">
        <v>579</v>
      </c>
      <c r="R271" s="0" t="s">
        <v>547</v>
      </c>
      <c r="S271" s="0" t="s">
        <v>1003</v>
      </c>
      <c r="T271" s="0" t="s">
        <v>749</v>
      </c>
      <c r="U271" s="0" t="s">
        <v>1485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77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N28" activeCellId="0" sqref="N28"/>
    </sheetView>
  </sheetViews>
  <sheetFormatPr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35"/>
    <col collapsed="false" customWidth="true" hidden="false" outlineLevel="0" max="3" min="3" style="0" width="29.86"/>
    <col collapsed="false" customWidth="true" hidden="true" outlineLevel="0" max="4" min="4" style="0" width="14.57"/>
    <col collapsed="false" customWidth="true" hidden="true" outlineLevel="0" max="5" min="5" style="0" width="13.43"/>
    <col collapsed="false" customWidth="true" hidden="false" outlineLevel="0" max="6" min="6" style="0" width="9.14"/>
    <col collapsed="false" customWidth="true" hidden="true" outlineLevel="0" max="7" min="7" style="0" width="16.28"/>
    <col collapsed="false" customWidth="true" hidden="true" outlineLevel="0" max="8" min="8" style="0" width="12.28"/>
    <col collapsed="false" customWidth="true" hidden="true" outlineLevel="0" max="9" min="9" style="0" width="14.57"/>
    <col collapsed="false" customWidth="true" hidden="true" outlineLevel="0" max="10" min="10" style="0" width="12"/>
    <col collapsed="false" customWidth="true" hidden="true" outlineLevel="0" max="11" min="11" style="0" width="16.43"/>
    <col collapsed="false" customWidth="true" hidden="true" outlineLevel="0" max="12" min="12" style="0" width="15.28"/>
    <col collapsed="false" customWidth="true" hidden="true" outlineLevel="0" max="13" min="13" style="0" width="14.28"/>
    <col collapsed="false" customWidth="true" hidden="false" outlineLevel="0" max="14" min="14" style="0" width="34.57"/>
    <col collapsed="false" customWidth="true" hidden="false" outlineLevel="0" max="15" min="15" style="0" width="30.29"/>
    <col collapsed="false" customWidth="true" hidden="false" outlineLevel="0" max="16" min="16" style="0" width="13.28"/>
    <col collapsed="false" customWidth="true" hidden="false" outlineLevel="0" max="17" min="17" style="0" width="81.14"/>
    <col collapsed="false" customWidth="true" hidden="false" outlineLevel="0" max="18" min="18" style="0" width="79"/>
    <col collapsed="false" customWidth="true" hidden="false" outlineLevel="0" max="23" min="19" style="0" width="81.14"/>
    <col collapsed="false" customWidth="true" hidden="false" outlineLevel="0" max="24" min="24" style="0" width="7.71"/>
    <col collapsed="false" customWidth="true" hidden="false" outlineLevel="0" max="29" min="25" style="0" width="81.14"/>
    <col collapsed="false" customWidth="true" hidden="false" outlineLevel="0" max="31" min="30" style="0" width="7.14"/>
    <col collapsed="false" customWidth="true" hidden="false" outlineLevel="0" max="32" min="32" style="0" width="81.14"/>
    <col collapsed="false" customWidth="true" hidden="false" outlineLevel="0" max="35" min="33" style="0" width="7.14"/>
    <col collapsed="false" customWidth="true" hidden="false" outlineLevel="0" max="36" min="36" style="0" width="81.14"/>
    <col collapsed="false" customWidth="true" hidden="false" outlineLevel="0" max="1025" min="37" style="0" width="8.53"/>
  </cols>
  <sheetData>
    <row r="1" s="16" customFormat="true" ht="15" hidden="false" customHeight="false" outlineLevel="0" collapsed="false">
      <c r="A1" s="16" t="s">
        <v>688</v>
      </c>
      <c r="B1" s="16" t="s">
        <v>1486</v>
      </c>
      <c r="C1" s="16" t="s">
        <v>689</v>
      </c>
      <c r="D1" s="16" t="s">
        <v>690</v>
      </c>
      <c r="E1" s="16" t="s">
        <v>691</v>
      </c>
      <c r="F1" s="16" t="s">
        <v>692</v>
      </c>
      <c r="G1" s="16" t="s">
        <v>693</v>
      </c>
      <c r="H1" s="16" t="s">
        <v>694</v>
      </c>
      <c r="I1" s="16" t="s">
        <v>695</v>
      </c>
      <c r="J1" s="16" t="s">
        <v>696</v>
      </c>
      <c r="K1" s="16" t="s">
        <v>697</v>
      </c>
      <c r="L1" s="16" t="s">
        <v>698</v>
      </c>
      <c r="M1" s="16" t="s">
        <v>699</v>
      </c>
      <c r="N1" s="16" t="s">
        <v>702</v>
      </c>
      <c r="O1" s="16" t="s">
        <v>704</v>
      </c>
      <c r="P1" s="16" t="s">
        <v>705</v>
      </c>
      <c r="Q1" s="16" t="s">
        <v>706</v>
      </c>
    </row>
    <row r="3" customFormat="false" ht="15" hidden="false" customHeight="false" outlineLevel="0" collapsed="false">
      <c r="A3" s="0" t="s">
        <v>865</v>
      </c>
      <c r="B3" s="0" t="s">
        <v>1487</v>
      </c>
      <c r="C3" s="0" t="s">
        <v>866</v>
      </c>
      <c r="D3" s="0" t="n">
        <v>1</v>
      </c>
      <c r="E3" s="0" t="n">
        <v>2</v>
      </c>
      <c r="F3" s="0" t="n">
        <v>0</v>
      </c>
      <c r="G3" s="0" t="n">
        <v>0</v>
      </c>
      <c r="H3" s="46" t="n">
        <v>0.000179307871615563</v>
      </c>
      <c r="I3" s="0" t="n">
        <v>0.00554701749153629</v>
      </c>
      <c r="J3" s="0" t="n">
        <v>0.038829122440754</v>
      </c>
      <c r="K3" s="0" t="n">
        <v>1</v>
      </c>
      <c r="L3" s="0" t="n">
        <v>1</v>
      </c>
      <c r="M3" s="46" t="n">
        <v>8.41538332071025E-005</v>
      </c>
      <c r="N3" s="0" t="s">
        <v>566</v>
      </c>
      <c r="Q3" s="0" t="s">
        <v>867</v>
      </c>
    </row>
    <row r="4" customFormat="false" ht="15" hidden="false" customHeight="false" outlineLevel="0" collapsed="false">
      <c r="A4" s="0" t="s">
        <v>909</v>
      </c>
      <c r="B4" s="0" t="s">
        <v>1141</v>
      </c>
      <c r="C4" s="0" t="s">
        <v>910</v>
      </c>
      <c r="D4" s="0" t="n">
        <v>1</v>
      </c>
      <c r="E4" s="0" t="n">
        <v>76</v>
      </c>
      <c r="F4" s="0" t="n">
        <v>2</v>
      </c>
      <c r="G4" s="0" t="n">
        <v>37</v>
      </c>
      <c r="H4" s="0" t="n">
        <v>0.00681369912139142</v>
      </c>
      <c r="I4" s="0" t="n">
        <v>0.038369718277048</v>
      </c>
      <c r="J4" s="0" t="n">
        <v>0.19184859138524</v>
      </c>
      <c r="K4" s="0" t="n">
        <v>3</v>
      </c>
      <c r="L4" s="0" t="n">
        <v>23</v>
      </c>
      <c r="M4" s="0" t="n">
        <v>0.00193553816376335</v>
      </c>
      <c r="N4" s="0" t="s">
        <v>547</v>
      </c>
      <c r="O4" s="0" t="s">
        <v>297</v>
      </c>
      <c r="P4" s="0" t="s">
        <v>547</v>
      </c>
      <c r="Q4" s="0" t="s">
        <v>750</v>
      </c>
      <c r="R4" s="0" t="s">
        <v>911</v>
      </c>
      <c r="S4" s="0" t="s">
        <v>912</v>
      </c>
    </row>
    <row r="5" customFormat="false" ht="15" hidden="false" customHeight="false" outlineLevel="0" collapsed="false">
      <c r="A5" s="0" t="s">
        <v>905</v>
      </c>
      <c r="B5" s="0" t="s">
        <v>1488</v>
      </c>
      <c r="C5" s="0" t="s">
        <v>906</v>
      </c>
      <c r="D5" s="0" t="n">
        <v>0</v>
      </c>
      <c r="E5" s="0" t="n">
        <v>9</v>
      </c>
      <c r="F5" s="0" t="n">
        <v>1</v>
      </c>
      <c r="G5" s="0" t="n">
        <v>5</v>
      </c>
      <c r="H5" s="46" t="n">
        <v>0.000806885422270037</v>
      </c>
      <c r="I5" s="0" t="n">
        <v>0.0382022091580425</v>
      </c>
      <c r="J5" s="0" t="n">
        <v>0.191011045790212</v>
      </c>
      <c r="K5" s="0" t="n">
        <v>1</v>
      </c>
      <c r="L5" s="0" t="n">
        <v>7</v>
      </c>
      <c r="M5" s="46" t="n">
        <v>0.000589076832449718</v>
      </c>
      <c r="O5" s="0" t="s">
        <v>547</v>
      </c>
      <c r="P5" s="0" t="s">
        <v>907</v>
      </c>
      <c r="Q5" s="0" t="s">
        <v>908</v>
      </c>
    </row>
    <row r="6" customFormat="false" ht="15" hidden="false" customHeight="false" outlineLevel="0" collapsed="false">
      <c r="A6" s="0" t="s">
        <v>922</v>
      </c>
      <c r="B6" s="0" t="s">
        <v>1488</v>
      </c>
      <c r="C6" s="0" t="s">
        <v>923</v>
      </c>
      <c r="D6" s="0" t="n">
        <v>0</v>
      </c>
      <c r="E6" s="0" t="n">
        <v>8</v>
      </c>
      <c r="F6" s="0" t="n">
        <v>1</v>
      </c>
      <c r="G6" s="0" t="n">
        <v>11</v>
      </c>
      <c r="H6" s="46" t="n">
        <v>0.000717231486462255</v>
      </c>
      <c r="I6" s="0" t="n">
        <v>0.0514966541152095</v>
      </c>
      <c r="J6" s="0" t="n">
        <v>0.257483270576047</v>
      </c>
      <c r="K6" s="0" t="n">
        <v>1</v>
      </c>
      <c r="L6" s="0" t="n">
        <v>3</v>
      </c>
      <c r="M6" s="46" t="n">
        <v>0.000252461499621307</v>
      </c>
      <c r="O6" s="0" t="s">
        <v>547</v>
      </c>
      <c r="P6" s="0" t="s">
        <v>924</v>
      </c>
      <c r="Q6" s="0" t="s">
        <v>925</v>
      </c>
    </row>
    <row r="7" customFormat="false" ht="15" hidden="false" customHeight="false" outlineLevel="0" collapsed="false">
      <c r="A7" s="0" t="s">
        <v>716</v>
      </c>
      <c r="B7" s="0" t="s">
        <v>747</v>
      </c>
      <c r="C7" s="0" t="s">
        <v>717</v>
      </c>
      <c r="D7" s="0" t="n">
        <v>14</v>
      </c>
      <c r="E7" s="0" t="n">
        <v>128</v>
      </c>
      <c r="F7" s="0" t="n">
        <v>0</v>
      </c>
      <c r="G7" s="0" t="n">
        <v>31</v>
      </c>
      <c r="H7" s="0" t="n">
        <v>0.011475703783396</v>
      </c>
      <c r="I7" s="46" t="n">
        <v>1.11022302462515E-016</v>
      </c>
      <c r="J7" s="46" t="n">
        <v>1.16573417585641E-014</v>
      </c>
      <c r="K7" s="0" t="n">
        <v>3</v>
      </c>
      <c r="L7" s="0" t="n">
        <v>11</v>
      </c>
      <c r="M7" s="46" t="n">
        <v>0.000925692165278128</v>
      </c>
      <c r="N7" s="0" t="s">
        <v>718</v>
      </c>
      <c r="Q7" s="0" t="s">
        <v>719</v>
      </c>
    </row>
    <row r="8" customFormat="false" ht="15" hidden="false" customHeight="false" outlineLevel="0" collapsed="false">
      <c r="A8" s="0" t="s">
        <v>720</v>
      </c>
      <c r="B8" s="0" t="s">
        <v>747</v>
      </c>
      <c r="C8" s="0" t="s">
        <v>721</v>
      </c>
      <c r="D8" s="0" t="n">
        <v>14</v>
      </c>
      <c r="E8" s="0" t="n">
        <v>133</v>
      </c>
      <c r="F8" s="0" t="n">
        <v>0</v>
      </c>
      <c r="G8" s="0" t="n">
        <v>82</v>
      </c>
      <c r="H8" s="0" t="n">
        <v>0.011923973462435</v>
      </c>
      <c r="I8" s="46" t="n">
        <v>6.66133814775093E-016</v>
      </c>
      <c r="J8" s="46" t="n">
        <v>5.26245713672324E-014</v>
      </c>
      <c r="K8" s="0" t="n">
        <v>3</v>
      </c>
      <c r="L8" s="0" t="n">
        <v>14</v>
      </c>
      <c r="M8" s="0" t="n">
        <v>0.00117815366489943</v>
      </c>
      <c r="N8" s="0" t="s">
        <v>718</v>
      </c>
      <c r="Q8" s="0" t="s">
        <v>719</v>
      </c>
    </row>
    <row r="9" customFormat="false" ht="15" hidden="false" customHeight="false" outlineLevel="0" collapsed="false">
      <c r="A9" s="0" t="s">
        <v>730</v>
      </c>
      <c r="B9" s="0" t="s">
        <v>747</v>
      </c>
      <c r="C9" s="0" t="s">
        <v>731</v>
      </c>
      <c r="D9" s="0" t="n">
        <v>7</v>
      </c>
      <c r="E9" s="0" t="n">
        <v>39</v>
      </c>
      <c r="F9" s="0" t="n">
        <v>2</v>
      </c>
      <c r="G9" s="0" t="n">
        <v>46</v>
      </c>
      <c r="H9" s="0" t="n">
        <v>0.00349650349650349</v>
      </c>
      <c r="I9" s="46" t="n">
        <v>4.98568963891443E-011</v>
      </c>
      <c r="J9" s="46" t="n">
        <v>2.24356033751149E-009</v>
      </c>
      <c r="K9" s="0" t="n">
        <v>26</v>
      </c>
      <c r="L9" s="0" t="n">
        <v>57</v>
      </c>
      <c r="M9" s="0" t="n">
        <v>0.00479676849280484</v>
      </c>
      <c r="N9" s="0" t="s">
        <v>732</v>
      </c>
      <c r="O9" s="0" t="s">
        <v>207</v>
      </c>
      <c r="P9" s="0" t="s">
        <v>566</v>
      </c>
      <c r="Q9" s="0" t="s">
        <v>207</v>
      </c>
      <c r="R9" s="0" t="s">
        <v>733</v>
      </c>
      <c r="S9" s="0" t="s">
        <v>734</v>
      </c>
    </row>
    <row r="10" customFormat="false" ht="15" hidden="false" customHeight="false" outlineLevel="0" collapsed="false">
      <c r="A10" s="0" t="s">
        <v>735</v>
      </c>
      <c r="B10" s="0" t="s">
        <v>747</v>
      </c>
      <c r="C10" s="0" t="s">
        <v>736</v>
      </c>
      <c r="D10" s="0" t="n">
        <v>15</v>
      </c>
      <c r="E10" s="0" t="n">
        <v>262</v>
      </c>
      <c r="F10" s="0" t="n">
        <v>0</v>
      </c>
      <c r="G10" s="0" t="n">
        <v>494</v>
      </c>
      <c r="H10" s="0" t="n">
        <v>0.0234893311816388</v>
      </c>
      <c r="I10" s="46" t="n">
        <v>4.85674944705749E-010</v>
      </c>
      <c r="J10" s="46" t="n">
        <v>1.89413228435242E-008</v>
      </c>
      <c r="K10" s="0" t="n">
        <v>20</v>
      </c>
      <c r="L10" s="0" t="n">
        <v>114</v>
      </c>
      <c r="M10" s="0" t="n">
        <v>0.00959353698560969</v>
      </c>
      <c r="N10" s="0" t="s">
        <v>737</v>
      </c>
      <c r="Q10" s="0" t="s">
        <v>738</v>
      </c>
    </row>
    <row r="11" customFormat="false" ht="15" hidden="false" customHeight="false" outlineLevel="0" collapsed="false">
      <c r="A11" s="0" t="s">
        <v>746</v>
      </c>
      <c r="B11" s="0" t="s">
        <v>747</v>
      </c>
      <c r="C11" s="0" t="s">
        <v>747</v>
      </c>
      <c r="D11" s="0" t="n">
        <v>21</v>
      </c>
      <c r="E11" s="0" t="n">
        <v>722</v>
      </c>
      <c r="F11" s="0" t="n">
        <v>4</v>
      </c>
      <c r="G11" s="0" t="n">
        <v>1349</v>
      </c>
      <c r="H11" s="0" t="n">
        <v>0.0647301416532185</v>
      </c>
      <c r="I11" s="46" t="n">
        <v>2.0058416039248E-009</v>
      </c>
      <c r="J11" s="46" t="n">
        <v>6.2181089721669E-008</v>
      </c>
      <c r="K11" s="0" t="n">
        <v>71</v>
      </c>
      <c r="L11" s="0" t="n">
        <v>327</v>
      </c>
      <c r="M11" s="0" t="n">
        <v>0.0275183034587225</v>
      </c>
      <c r="N11" s="0" t="s">
        <v>748</v>
      </c>
      <c r="O11" s="0" t="s">
        <v>207</v>
      </c>
      <c r="P11" s="0" t="s">
        <v>297</v>
      </c>
      <c r="Q11" s="0" t="s">
        <v>566</v>
      </c>
      <c r="R11" s="0" t="s">
        <v>547</v>
      </c>
      <c r="S11" s="0" t="s">
        <v>207</v>
      </c>
      <c r="T11" s="0" t="s">
        <v>749</v>
      </c>
      <c r="U11" s="0" t="s">
        <v>750</v>
      </c>
      <c r="V11" s="0" t="s">
        <v>733</v>
      </c>
      <c r="W11" s="0" t="s">
        <v>751</v>
      </c>
    </row>
    <row r="12" customFormat="false" ht="15" hidden="false" customHeight="false" outlineLevel="0" collapsed="false">
      <c r="A12" s="0" t="s">
        <v>752</v>
      </c>
      <c r="B12" s="0" t="s">
        <v>747</v>
      </c>
      <c r="C12" s="0" t="s">
        <v>753</v>
      </c>
      <c r="D12" s="0" t="n">
        <v>5</v>
      </c>
      <c r="E12" s="0" t="n">
        <v>22</v>
      </c>
      <c r="F12" s="0" t="n">
        <v>2</v>
      </c>
      <c r="G12" s="0" t="n">
        <v>37</v>
      </c>
      <c r="H12" s="0" t="n">
        <v>0.0019723865877712</v>
      </c>
      <c r="I12" s="46" t="n">
        <v>9.14885511793528E-009</v>
      </c>
      <c r="J12" s="46" t="n">
        <v>2.56167943302187E-007</v>
      </c>
      <c r="K12" s="0" t="n">
        <v>18</v>
      </c>
      <c r="L12" s="0" t="n">
        <v>29</v>
      </c>
      <c r="M12" s="0" t="n">
        <v>0.00244046116300597</v>
      </c>
      <c r="N12" s="0" t="s">
        <v>754</v>
      </c>
      <c r="O12" s="0" t="s">
        <v>207</v>
      </c>
      <c r="P12" s="0" t="s">
        <v>566</v>
      </c>
      <c r="Q12" s="0" t="s">
        <v>207</v>
      </c>
      <c r="R12" s="0" t="s">
        <v>733</v>
      </c>
      <c r="S12" s="0" t="s">
        <v>755</v>
      </c>
    </row>
    <row r="13" customFormat="false" ht="15" hidden="false" customHeight="false" outlineLevel="0" collapsed="false">
      <c r="A13" s="0" t="s">
        <v>756</v>
      </c>
      <c r="B13" s="0" t="s">
        <v>747</v>
      </c>
      <c r="C13" s="0" t="s">
        <v>757</v>
      </c>
      <c r="D13" s="0" t="n">
        <v>5</v>
      </c>
      <c r="E13" s="0" t="n">
        <v>22</v>
      </c>
      <c r="F13" s="0" t="n">
        <v>0</v>
      </c>
      <c r="G13" s="0" t="n">
        <v>8</v>
      </c>
      <c r="H13" s="0" t="n">
        <v>0.0019723865877712</v>
      </c>
      <c r="I13" s="46" t="n">
        <v>2.14923802088762E-008</v>
      </c>
      <c r="J13" s="46" t="n">
        <v>5.58801885430781E-007</v>
      </c>
      <c r="K13" s="0" t="n">
        <v>8</v>
      </c>
      <c r="L13" s="0" t="n">
        <v>20</v>
      </c>
      <c r="M13" s="0" t="n">
        <v>0.00168307666414205</v>
      </c>
      <c r="N13" s="0" t="s">
        <v>758</v>
      </c>
      <c r="Q13" s="0" t="s">
        <v>759</v>
      </c>
    </row>
    <row r="14" customFormat="false" ht="15" hidden="false" customHeight="false" outlineLevel="0" collapsed="false">
      <c r="A14" s="0" t="s">
        <v>817</v>
      </c>
      <c r="B14" s="0" t="s">
        <v>747</v>
      </c>
      <c r="C14" s="0" t="s">
        <v>818</v>
      </c>
      <c r="D14" s="0" t="n">
        <v>2</v>
      </c>
      <c r="E14" s="0" t="n">
        <v>13</v>
      </c>
      <c r="F14" s="0" t="n">
        <v>1</v>
      </c>
      <c r="G14" s="0" t="n">
        <v>33</v>
      </c>
      <c r="H14" s="0" t="n">
        <v>0.00116550116550116</v>
      </c>
      <c r="I14" s="46" t="n">
        <v>0.000298948509007246</v>
      </c>
      <c r="J14" s="0" t="n">
        <v>0.00298948509007246</v>
      </c>
      <c r="K14" s="0" t="n">
        <v>16</v>
      </c>
      <c r="L14" s="0" t="n">
        <v>19</v>
      </c>
      <c r="M14" s="0" t="n">
        <v>0.00159892283093494</v>
      </c>
      <c r="N14" s="0" t="s">
        <v>819</v>
      </c>
      <c r="O14" s="0" t="s">
        <v>297</v>
      </c>
      <c r="P14" s="0" t="s">
        <v>750</v>
      </c>
      <c r="Q14" s="0" t="s">
        <v>820</v>
      </c>
    </row>
    <row r="15" customFormat="false" ht="15" hidden="false" customHeight="false" outlineLevel="0" collapsed="false">
      <c r="A15" s="0" t="s">
        <v>739</v>
      </c>
      <c r="B15" s="0" t="s">
        <v>1489</v>
      </c>
      <c r="C15" s="0" t="s">
        <v>740</v>
      </c>
      <c r="D15" s="0" t="n">
        <v>22</v>
      </c>
      <c r="E15" s="0" t="n">
        <v>1183</v>
      </c>
      <c r="F15" s="0" t="n">
        <v>6</v>
      </c>
      <c r="G15" s="0" t="n">
        <v>1614</v>
      </c>
      <c r="H15" s="0" t="n">
        <v>0.106060606060606</v>
      </c>
      <c r="I15" s="46" t="n">
        <v>1.50351864292019E-009</v>
      </c>
      <c r="J15" s="46" t="n">
        <v>5.26231525022069E-008</v>
      </c>
      <c r="K15" s="0" t="n">
        <v>71</v>
      </c>
      <c r="L15" s="0" t="n">
        <v>651</v>
      </c>
      <c r="M15" s="0" t="n">
        <v>0.0547841454178237</v>
      </c>
      <c r="N15" s="0" t="s">
        <v>741</v>
      </c>
      <c r="O15" s="0" t="s">
        <v>235</v>
      </c>
      <c r="P15" s="0" t="s">
        <v>235</v>
      </c>
      <c r="Q15" s="0" t="s">
        <v>558</v>
      </c>
      <c r="R15" s="0" t="s">
        <v>579</v>
      </c>
      <c r="S15" s="0" t="s">
        <v>395</v>
      </c>
      <c r="T15" s="0" t="s">
        <v>569</v>
      </c>
      <c r="U15" s="0" t="s">
        <v>395</v>
      </c>
      <c r="V15" s="0" t="s">
        <v>742</v>
      </c>
      <c r="W15" s="0" t="s">
        <v>235</v>
      </c>
      <c r="X15" s="0" t="s">
        <v>743</v>
      </c>
      <c r="Y15" s="0" t="s">
        <v>744</v>
      </c>
      <c r="Z15" s="0" t="s">
        <v>745</v>
      </c>
    </row>
    <row r="16" customFormat="false" ht="15" hidden="false" customHeight="false" outlineLevel="0" collapsed="false">
      <c r="A16" s="0" t="s">
        <v>804</v>
      </c>
      <c r="B16" s="0" t="s">
        <v>1489</v>
      </c>
      <c r="C16" s="0" t="s">
        <v>805</v>
      </c>
      <c r="D16" s="0" t="n">
        <v>23</v>
      </c>
      <c r="E16" s="0" t="n">
        <v>2370</v>
      </c>
      <c r="F16" s="0" t="n">
        <v>7</v>
      </c>
      <c r="G16" s="0" t="n">
        <v>3315</v>
      </c>
      <c r="H16" s="0" t="n">
        <v>0.212479827864443</v>
      </c>
      <c r="I16" s="46" t="n">
        <v>6.27748159887087E-005</v>
      </c>
      <c r="J16" s="46" t="n">
        <v>0.000753297791864504</v>
      </c>
      <c r="K16" s="0" t="n">
        <v>81</v>
      </c>
      <c r="L16" s="0" t="n">
        <v>1551</v>
      </c>
      <c r="M16" s="0" t="n">
        <v>0.130522595304216</v>
      </c>
      <c r="N16" s="0" t="s">
        <v>806</v>
      </c>
      <c r="O16" s="0" t="s">
        <v>235</v>
      </c>
      <c r="P16" s="0" t="s">
        <v>235</v>
      </c>
      <c r="Q16" s="0" t="s">
        <v>558</v>
      </c>
      <c r="R16" s="0" t="s">
        <v>579</v>
      </c>
      <c r="S16" s="0" t="s">
        <v>395</v>
      </c>
      <c r="T16" s="0" t="s">
        <v>547</v>
      </c>
      <c r="U16" s="0" t="s">
        <v>569</v>
      </c>
      <c r="V16" s="0" t="s">
        <v>395</v>
      </c>
      <c r="W16" s="0" t="s">
        <v>742</v>
      </c>
      <c r="X16" s="0" t="s">
        <v>235</v>
      </c>
      <c r="Y16" s="0" t="s">
        <v>749</v>
      </c>
      <c r="Z16" s="0" t="s">
        <v>807</v>
      </c>
      <c r="AA16" s="0" t="s">
        <v>743</v>
      </c>
      <c r="AB16" s="0" t="s">
        <v>744</v>
      </c>
      <c r="AC16" s="0" t="s">
        <v>808</v>
      </c>
    </row>
    <row r="17" customFormat="false" ht="15" hidden="false" customHeight="false" outlineLevel="0" collapsed="false">
      <c r="A17" s="0" t="s">
        <v>707</v>
      </c>
      <c r="B17" s="0" t="s">
        <v>1490</v>
      </c>
      <c r="C17" s="0" t="s">
        <v>708</v>
      </c>
      <c r="D17" s="0" t="n">
        <v>13</v>
      </c>
      <c r="E17" s="0" t="n">
        <v>135</v>
      </c>
      <c r="F17" s="0" t="n">
        <v>3</v>
      </c>
      <c r="G17" s="0" t="n">
        <v>57</v>
      </c>
      <c r="H17" s="0" t="n">
        <v>0.0121032813340505</v>
      </c>
      <c r="I17" s="46" t="n">
        <v>1.11022302462515E-016</v>
      </c>
      <c r="J17" s="46" t="n">
        <v>1.16573417585641E-014</v>
      </c>
      <c r="K17" s="0" t="n">
        <v>38</v>
      </c>
      <c r="L17" s="0" t="n">
        <v>42</v>
      </c>
      <c r="M17" s="0" t="n">
        <v>0.0035344609946983</v>
      </c>
      <c r="N17" s="0" t="s">
        <v>710</v>
      </c>
      <c r="O17" s="0" t="s">
        <v>235</v>
      </c>
      <c r="P17" s="0" t="s">
        <v>235</v>
      </c>
      <c r="Q17" s="0" t="s">
        <v>395</v>
      </c>
      <c r="R17" s="0" t="s">
        <v>395</v>
      </c>
      <c r="S17" s="0" t="s">
        <v>235</v>
      </c>
      <c r="T17" s="0" t="s">
        <v>711</v>
      </c>
    </row>
    <row r="18" customFormat="false" ht="15" hidden="false" customHeight="false" outlineLevel="0" collapsed="false">
      <c r="A18" s="0" t="s">
        <v>712</v>
      </c>
      <c r="B18" s="0" t="s">
        <v>1490</v>
      </c>
      <c r="C18" s="0" t="s">
        <v>713</v>
      </c>
      <c r="D18" s="0" t="n">
        <v>14</v>
      </c>
      <c r="E18" s="0" t="n">
        <v>146</v>
      </c>
      <c r="F18" s="0" t="n">
        <v>3</v>
      </c>
      <c r="G18" s="0" t="n">
        <v>57</v>
      </c>
      <c r="H18" s="0" t="n">
        <v>0.0130894746279361</v>
      </c>
      <c r="I18" s="46" t="n">
        <v>1.11022302462515E-016</v>
      </c>
      <c r="J18" s="46" t="n">
        <v>1.16573417585641E-014</v>
      </c>
      <c r="K18" s="0" t="n">
        <v>60</v>
      </c>
      <c r="L18" s="0" t="n">
        <v>71</v>
      </c>
      <c r="M18" s="0" t="n">
        <v>0.00597492215770428</v>
      </c>
      <c r="N18" s="0" t="s">
        <v>714</v>
      </c>
      <c r="O18" s="0" t="s">
        <v>235</v>
      </c>
      <c r="P18" s="0" t="s">
        <v>235</v>
      </c>
      <c r="Q18" s="0" t="s">
        <v>395</v>
      </c>
      <c r="R18" s="0" t="s">
        <v>395</v>
      </c>
      <c r="S18" s="0" t="s">
        <v>235</v>
      </c>
      <c r="T18" s="0" t="s">
        <v>715</v>
      </c>
    </row>
    <row r="19" customFormat="false" ht="15" hidden="false" customHeight="false" outlineLevel="0" collapsed="false">
      <c r="A19" s="0" t="s">
        <v>778</v>
      </c>
      <c r="B19" s="0" t="s">
        <v>1490</v>
      </c>
      <c r="C19" s="0" t="s">
        <v>779</v>
      </c>
      <c r="D19" s="0" t="n">
        <v>3</v>
      </c>
      <c r="E19" s="0" t="n">
        <v>8</v>
      </c>
      <c r="F19" s="0" t="n">
        <v>0</v>
      </c>
      <c r="G19" s="0" t="n">
        <v>0</v>
      </c>
      <c r="H19" s="46" t="n">
        <v>0.000717231486462255</v>
      </c>
      <c r="I19" s="46" t="n">
        <v>1.69334250166297E-006</v>
      </c>
      <c r="J19" s="46" t="n">
        <v>2.87868225282705E-005</v>
      </c>
      <c r="K19" s="0" t="n">
        <v>4</v>
      </c>
      <c r="L19" s="0" t="n">
        <v>5</v>
      </c>
      <c r="M19" s="46" t="n">
        <v>0.000420769166035512</v>
      </c>
      <c r="N19" s="0" t="s">
        <v>780</v>
      </c>
      <c r="Q19" s="0" t="s">
        <v>781</v>
      </c>
    </row>
    <row r="20" customFormat="false" ht="15" hidden="false" customHeight="false" outlineLevel="0" collapsed="false">
      <c r="A20" s="0" t="s">
        <v>800</v>
      </c>
      <c r="B20" s="0" t="s">
        <v>1490</v>
      </c>
      <c r="C20" s="0" t="s">
        <v>801</v>
      </c>
      <c r="D20" s="0" t="n">
        <v>8</v>
      </c>
      <c r="E20" s="0" t="n">
        <v>480</v>
      </c>
      <c r="F20" s="0" t="n">
        <v>0</v>
      </c>
      <c r="G20" s="0" t="n">
        <v>0</v>
      </c>
      <c r="H20" s="0" t="n">
        <v>0.0430338891877353</v>
      </c>
      <c r="I20" s="46" t="n">
        <v>4.94464662269544E-005</v>
      </c>
      <c r="J20" s="46" t="n">
        <v>0.000593357594723453</v>
      </c>
      <c r="K20" s="0" t="n">
        <v>5</v>
      </c>
      <c r="L20" s="0" t="n">
        <v>10</v>
      </c>
      <c r="M20" s="46" t="n">
        <v>0.000841538332071025</v>
      </c>
      <c r="N20" s="0" t="s">
        <v>802</v>
      </c>
      <c r="Q20" s="0" t="s">
        <v>803</v>
      </c>
    </row>
    <row r="21" customFormat="false" ht="15" hidden="false" customHeight="false" outlineLevel="0" collapsed="false">
      <c r="A21" s="0" t="s">
        <v>821</v>
      </c>
      <c r="B21" s="0" t="s">
        <v>1490</v>
      </c>
      <c r="C21" s="0" t="s">
        <v>822</v>
      </c>
      <c r="D21" s="0" t="n">
        <v>3</v>
      </c>
      <c r="E21" s="0" t="n">
        <v>111</v>
      </c>
      <c r="F21" s="0" t="n">
        <v>1</v>
      </c>
      <c r="G21" s="0" t="n">
        <v>20</v>
      </c>
      <c r="H21" s="0" t="n">
        <v>0.00995158687466379</v>
      </c>
      <c r="I21" s="46" t="n">
        <v>0.000493549076043597</v>
      </c>
      <c r="J21" s="0" t="n">
        <v>0.00493549076043597</v>
      </c>
      <c r="K21" s="0" t="n">
        <v>15</v>
      </c>
      <c r="L21" s="0" t="n">
        <v>21</v>
      </c>
      <c r="M21" s="0" t="n">
        <v>0.00176723049734915</v>
      </c>
      <c r="N21" s="0" t="s">
        <v>823</v>
      </c>
      <c r="O21" s="0" t="s">
        <v>395</v>
      </c>
      <c r="P21" s="0" t="s">
        <v>235</v>
      </c>
      <c r="Q21" s="0" t="s">
        <v>824</v>
      </c>
    </row>
    <row r="22" customFormat="false" ht="15" hidden="false" customHeight="false" outlineLevel="0" collapsed="false">
      <c r="A22" s="0" t="s">
        <v>830</v>
      </c>
      <c r="B22" s="0" t="s">
        <v>1490</v>
      </c>
      <c r="C22" s="0" t="s">
        <v>831</v>
      </c>
      <c r="D22" s="0" t="n">
        <v>1</v>
      </c>
      <c r="E22" s="0" t="n">
        <v>5</v>
      </c>
      <c r="F22" s="0" t="n">
        <v>1</v>
      </c>
      <c r="G22" s="0" t="n">
        <v>10</v>
      </c>
      <c r="H22" s="46" t="n">
        <v>0.000448269679038909</v>
      </c>
      <c r="I22" s="46" t="n">
        <v>0.00082925136929679</v>
      </c>
      <c r="J22" s="0" t="n">
        <v>0.00746326232367111</v>
      </c>
      <c r="K22" s="0" t="n">
        <v>9</v>
      </c>
      <c r="L22" s="0" t="n">
        <v>9</v>
      </c>
      <c r="M22" s="46" t="n">
        <v>0.000757384498863923</v>
      </c>
      <c r="N22" s="0" t="s">
        <v>235</v>
      </c>
      <c r="O22" s="0" t="s">
        <v>395</v>
      </c>
      <c r="P22" s="0" t="s">
        <v>235</v>
      </c>
      <c r="Q22" s="0" t="s">
        <v>832</v>
      </c>
    </row>
    <row r="23" customFormat="false" ht="15" hidden="false" customHeight="false" outlineLevel="0" collapsed="false">
      <c r="A23" s="0" t="s">
        <v>856</v>
      </c>
      <c r="B23" s="0" t="s">
        <v>1490</v>
      </c>
      <c r="C23" s="0" t="s">
        <v>857</v>
      </c>
      <c r="D23" s="0" t="n">
        <v>1</v>
      </c>
      <c r="E23" s="0" t="n">
        <v>7</v>
      </c>
      <c r="F23" s="0" t="n">
        <v>1</v>
      </c>
      <c r="G23" s="0" t="n">
        <v>20</v>
      </c>
      <c r="H23" s="46" t="n">
        <v>0.000627577550654473</v>
      </c>
      <c r="I23" s="0" t="n">
        <v>0.00263035705892766</v>
      </c>
      <c r="J23" s="0" t="n">
        <v>0.0184124994124936</v>
      </c>
      <c r="K23" s="0" t="n">
        <v>3</v>
      </c>
      <c r="L23" s="0" t="n">
        <v>3</v>
      </c>
      <c r="M23" s="46" t="n">
        <v>0.000252461499621307</v>
      </c>
      <c r="N23" s="0" t="s">
        <v>235</v>
      </c>
      <c r="O23" s="0" t="s">
        <v>395</v>
      </c>
      <c r="P23" s="0" t="s">
        <v>235</v>
      </c>
      <c r="Q23" s="0" t="s">
        <v>858</v>
      </c>
    </row>
    <row r="24" customFormat="false" ht="15" hidden="false" customHeight="false" outlineLevel="0" collapsed="false">
      <c r="A24" s="0" t="s">
        <v>879</v>
      </c>
      <c r="B24" s="0" t="s">
        <v>1490</v>
      </c>
      <c r="C24" s="0" t="s">
        <v>880</v>
      </c>
      <c r="D24" s="0" t="n">
        <v>1</v>
      </c>
      <c r="E24" s="0" t="n">
        <v>5</v>
      </c>
      <c r="F24" s="0" t="n">
        <v>0</v>
      </c>
      <c r="G24" s="0" t="n">
        <v>0</v>
      </c>
      <c r="H24" s="46" t="n">
        <v>0.000448269679038909</v>
      </c>
      <c r="I24" s="0" t="n">
        <v>0.0138111219638912</v>
      </c>
      <c r="J24" s="0" t="n">
        <v>0.0828667317833473</v>
      </c>
      <c r="K24" s="0" t="n">
        <v>1</v>
      </c>
      <c r="L24" s="0" t="n">
        <v>3</v>
      </c>
      <c r="M24" s="46" t="n">
        <v>0.000252461499621307</v>
      </c>
      <c r="N24" s="0" t="s">
        <v>589</v>
      </c>
      <c r="Q24" s="0" t="s">
        <v>881</v>
      </c>
    </row>
    <row r="25" customFormat="false" ht="15" hidden="false" customHeight="false" outlineLevel="0" collapsed="false">
      <c r="A25" s="0" t="s">
        <v>895</v>
      </c>
      <c r="B25" s="0" t="s">
        <v>1490</v>
      </c>
      <c r="C25" s="0" t="s">
        <v>896</v>
      </c>
      <c r="D25" s="0" t="n">
        <v>1</v>
      </c>
      <c r="E25" s="0" t="n">
        <v>8</v>
      </c>
      <c r="F25" s="0" t="n">
        <v>0</v>
      </c>
      <c r="G25" s="0" t="n">
        <v>0</v>
      </c>
      <c r="H25" s="46" t="n">
        <v>0.000717231486462255</v>
      </c>
      <c r="I25" s="0" t="n">
        <v>0.0220079993688662</v>
      </c>
      <c r="J25" s="0" t="n">
        <v>0.110039996844331</v>
      </c>
      <c r="K25" s="0" t="n">
        <v>2</v>
      </c>
      <c r="L25" s="0" t="n">
        <v>6</v>
      </c>
      <c r="M25" s="46" t="n">
        <v>0.000504922999242615</v>
      </c>
      <c r="N25" s="0" t="s">
        <v>589</v>
      </c>
      <c r="Q25" s="0" t="s">
        <v>897</v>
      </c>
    </row>
    <row r="26" customFormat="false" ht="15" hidden="false" customHeight="false" outlineLevel="0" collapsed="false">
      <c r="A26" s="0" t="s">
        <v>898</v>
      </c>
      <c r="B26" s="0" t="s">
        <v>1490</v>
      </c>
      <c r="C26" s="0" t="s">
        <v>899</v>
      </c>
      <c r="D26" s="0" t="n">
        <v>2</v>
      </c>
      <c r="E26" s="0" t="n">
        <v>103</v>
      </c>
      <c r="F26" s="0" t="n">
        <v>0</v>
      </c>
      <c r="G26" s="0" t="n">
        <v>0</v>
      </c>
      <c r="H26" s="0" t="n">
        <v>0.00923435538820154</v>
      </c>
      <c r="I26" s="0" t="n">
        <v>0.0335014173338463</v>
      </c>
      <c r="J26" s="0" t="n">
        <v>0.167507086669231</v>
      </c>
      <c r="K26" s="0" t="n">
        <v>4</v>
      </c>
      <c r="L26" s="0" t="n">
        <v>8</v>
      </c>
      <c r="M26" s="46" t="n">
        <v>0.00067323066565682</v>
      </c>
      <c r="N26" s="0" t="s">
        <v>900</v>
      </c>
      <c r="Q26" s="0" t="s">
        <v>901</v>
      </c>
    </row>
    <row r="27" customFormat="false" ht="15" hidden="false" customHeight="false" outlineLevel="0" collapsed="false">
      <c r="A27" s="0" t="s">
        <v>782</v>
      </c>
      <c r="B27" s="0" t="s">
        <v>1448</v>
      </c>
      <c r="C27" s="0" t="s">
        <v>783</v>
      </c>
      <c r="D27" s="0" t="n">
        <v>5</v>
      </c>
      <c r="E27" s="0" t="n">
        <v>48</v>
      </c>
      <c r="F27" s="0" t="n">
        <v>2</v>
      </c>
      <c r="G27" s="0" t="n">
        <v>107</v>
      </c>
      <c r="H27" s="0" t="n">
        <v>0.00430338891877353</v>
      </c>
      <c r="I27" s="46" t="n">
        <v>3.84233344397078E-006</v>
      </c>
      <c r="J27" s="46" t="n">
        <v>6.14773351035324E-005</v>
      </c>
      <c r="K27" s="0" t="n">
        <v>10</v>
      </c>
      <c r="L27" s="0" t="n">
        <v>32</v>
      </c>
      <c r="M27" s="0" t="n">
        <v>0.00269292266262728</v>
      </c>
      <c r="N27" s="0" t="s">
        <v>762</v>
      </c>
      <c r="O27" s="0" t="s">
        <v>562</v>
      </c>
      <c r="P27" s="0" t="s">
        <v>335</v>
      </c>
      <c r="Q27" s="0" t="s">
        <v>763</v>
      </c>
      <c r="R27" s="0" t="s">
        <v>764</v>
      </c>
      <c r="S27" s="0" t="s">
        <v>765</v>
      </c>
    </row>
    <row r="28" customFormat="false" ht="15" hidden="false" customHeight="false" outlineLevel="0" collapsed="false">
      <c r="A28" s="0" t="s">
        <v>825</v>
      </c>
      <c r="B28" s="0" t="s">
        <v>1448</v>
      </c>
      <c r="C28" s="0" t="s">
        <v>826</v>
      </c>
      <c r="D28" s="0" t="n">
        <v>5</v>
      </c>
      <c r="E28" s="0" t="n">
        <v>192</v>
      </c>
      <c r="F28" s="0" t="n">
        <v>2</v>
      </c>
      <c r="G28" s="0" t="n">
        <v>189</v>
      </c>
      <c r="H28" s="0" t="n">
        <v>0.0172135556750941</v>
      </c>
      <c r="I28" s="46" t="n">
        <v>0.000495309637356777</v>
      </c>
      <c r="J28" s="0" t="n">
        <v>0.00495309637356777</v>
      </c>
      <c r="K28" s="0" t="n">
        <v>10</v>
      </c>
      <c r="L28" s="0" t="n">
        <v>185</v>
      </c>
      <c r="M28" s="0" t="n">
        <v>0.0155684591433139</v>
      </c>
      <c r="N28" s="0" t="s">
        <v>762</v>
      </c>
      <c r="O28" s="0" t="s">
        <v>562</v>
      </c>
      <c r="P28" s="0" t="s">
        <v>335</v>
      </c>
      <c r="Q28" s="0" t="s">
        <v>763</v>
      </c>
      <c r="R28" s="0" t="s">
        <v>764</v>
      </c>
      <c r="S28" s="0" t="s">
        <v>765</v>
      </c>
    </row>
    <row r="29" customFormat="false" ht="15" hidden="false" customHeight="false" outlineLevel="0" collapsed="false">
      <c r="A29" s="0" t="s">
        <v>726</v>
      </c>
      <c r="B29" s="0" t="s">
        <v>1491</v>
      </c>
      <c r="C29" s="0" t="s">
        <v>727</v>
      </c>
      <c r="D29" s="0" t="n">
        <v>11</v>
      </c>
      <c r="E29" s="0" t="n">
        <v>124</v>
      </c>
      <c r="F29" s="0" t="n">
        <v>0</v>
      </c>
      <c r="G29" s="0" t="n">
        <v>103</v>
      </c>
      <c r="H29" s="0" t="n">
        <v>0.0111170880401649</v>
      </c>
      <c r="I29" s="46" t="n">
        <v>2.48956411041945E-011</v>
      </c>
      <c r="J29" s="46" t="n">
        <v>1.29457333741811E-009</v>
      </c>
      <c r="K29" s="0" t="n">
        <v>3</v>
      </c>
      <c r="L29" s="0" t="n">
        <v>14</v>
      </c>
      <c r="M29" s="0" t="n">
        <v>0.00117815366489943</v>
      </c>
      <c r="N29" s="0" t="s">
        <v>728</v>
      </c>
      <c r="Q29" s="0" t="s">
        <v>729</v>
      </c>
    </row>
    <row r="30" customFormat="false" ht="15" hidden="false" customHeight="false" outlineLevel="0" collapsed="false">
      <c r="A30" s="0" t="s">
        <v>913</v>
      </c>
      <c r="B30" s="0" t="s">
        <v>1054</v>
      </c>
      <c r="C30" s="0" t="s">
        <v>914</v>
      </c>
      <c r="D30" s="0" t="n">
        <v>3</v>
      </c>
      <c r="E30" s="0" t="n">
        <v>80</v>
      </c>
      <c r="F30" s="0" t="n">
        <v>2</v>
      </c>
      <c r="G30" s="0" t="n">
        <v>207</v>
      </c>
      <c r="H30" s="0" t="n">
        <v>0.00717231486462255</v>
      </c>
      <c r="I30" s="0" t="n">
        <v>0.0411103772065317</v>
      </c>
      <c r="J30" s="0" t="n">
        <v>0.205551886032658</v>
      </c>
      <c r="K30" s="0" t="n">
        <v>10</v>
      </c>
      <c r="L30" s="0" t="n">
        <v>33</v>
      </c>
      <c r="M30" s="0" t="n">
        <v>0.00277707649583438</v>
      </c>
      <c r="N30" s="0" t="s">
        <v>915</v>
      </c>
      <c r="O30" s="0" t="s">
        <v>268</v>
      </c>
      <c r="P30" s="0" t="s">
        <v>566</v>
      </c>
      <c r="Q30" s="0" t="s">
        <v>268</v>
      </c>
      <c r="R30" s="0" t="s">
        <v>916</v>
      </c>
      <c r="S30" s="0" t="s">
        <v>917</v>
      </c>
    </row>
    <row r="31" customFormat="false" ht="15" hidden="false" customHeight="false" outlineLevel="0" collapsed="false">
      <c r="A31" s="0" t="s">
        <v>722</v>
      </c>
      <c r="B31" s="0" t="s">
        <v>1492</v>
      </c>
      <c r="C31" s="0" t="s">
        <v>723</v>
      </c>
      <c r="D31" s="0" t="n">
        <v>9</v>
      </c>
      <c r="E31" s="0" t="n">
        <v>107</v>
      </c>
      <c r="F31" s="0" t="n">
        <v>0</v>
      </c>
      <c r="G31" s="0" t="n">
        <v>0</v>
      </c>
      <c r="H31" s="0" t="n">
        <v>0.00959297113143266</v>
      </c>
      <c r="I31" s="46" t="n">
        <v>1.79329884275603E-011</v>
      </c>
      <c r="J31" s="46" t="n">
        <v>1.12977827093629E-009</v>
      </c>
      <c r="K31" s="0" t="n">
        <v>1</v>
      </c>
      <c r="L31" s="0" t="n">
        <v>1</v>
      </c>
      <c r="M31" s="46" t="n">
        <v>8.41538332071025E-005</v>
      </c>
      <c r="N31" s="0" t="s">
        <v>724</v>
      </c>
      <c r="Q31" s="0" t="s">
        <v>725</v>
      </c>
    </row>
    <row r="32" customFormat="false" ht="15" hidden="false" customHeight="false" outlineLevel="0" collapsed="false">
      <c r="A32" s="0" t="s">
        <v>836</v>
      </c>
      <c r="B32" s="0" t="s">
        <v>1492</v>
      </c>
      <c r="C32" s="0" t="s">
        <v>837</v>
      </c>
      <c r="D32" s="0" t="n">
        <v>2</v>
      </c>
      <c r="E32" s="0" t="n">
        <v>9</v>
      </c>
      <c r="F32" s="0" t="n">
        <v>0</v>
      </c>
      <c r="G32" s="0" t="n">
        <v>8</v>
      </c>
      <c r="H32" s="46" t="n">
        <v>0.000806885422270037</v>
      </c>
      <c r="I32" s="46" t="n">
        <v>0.000941835031712079</v>
      </c>
      <c r="J32" s="0" t="n">
        <v>0.00847651528540871</v>
      </c>
      <c r="K32" s="0" t="n">
        <v>2</v>
      </c>
      <c r="L32" s="0" t="n">
        <v>9</v>
      </c>
      <c r="M32" s="46" t="n">
        <v>0.000757384498863923</v>
      </c>
      <c r="N32" s="0" t="s">
        <v>838</v>
      </c>
      <c r="Q32" s="0" t="s">
        <v>839</v>
      </c>
    </row>
    <row r="33" customFormat="false" ht="15" hidden="false" customHeight="false" outlineLevel="0" collapsed="false">
      <c r="A33" s="0" t="s">
        <v>840</v>
      </c>
      <c r="B33" s="0" t="s">
        <v>1492</v>
      </c>
      <c r="C33" s="0" t="s">
        <v>841</v>
      </c>
      <c r="D33" s="0" t="n">
        <v>2</v>
      </c>
      <c r="E33" s="0" t="n">
        <v>10</v>
      </c>
      <c r="F33" s="0" t="n">
        <v>0</v>
      </c>
      <c r="G33" s="0" t="n">
        <v>8</v>
      </c>
      <c r="H33" s="46" t="n">
        <v>0.000896539358077819</v>
      </c>
      <c r="I33" s="0" t="n">
        <v>0.00106136326324624</v>
      </c>
      <c r="J33" s="0" t="n">
        <v>0.00849090610596992</v>
      </c>
      <c r="K33" s="0" t="n">
        <v>2</v>
      </c>
      <c r="L33" s="0" t="n">
        <v>9</v>
      </c>
      <c r="M33" s="46" t="n">
        <v>0.000757384498863923</v>
      </c>
      <c r="N33" s="0" t="s">
        <v>838</v>
      </c>
      <c r="Q33" s="0" t="s">
        <v>842</v>
      </c>
    </row>
    <row r="34" customFormat="false" ht="15" hidden="false" customHeight="false" outlineLevel="0" collapsed="false">
      <c r="A34" s="0" t="s">
        <v>850</v>
      </c>
      <c r="B34" s="0" t="s">
        <v>1492</v>
      </c>
      <c r="C34" s="0" t="s">
        <v>851</v>
      </c>
      <c r="D34" s="0" t="n">
        <v>2</v>
      </c>
      <c r="E34" s="0" t="n">
        <v>10</v>
      </c>
      <c r="F34" s="0" t="n">
        <v>0</v>
      </c>
      <c r="G34" s="0" t="n">
        <v>14</v>
      </c>
      <c r="H34" s="46" t="n">
        <v>0.000896539358077819</v>
      </c>
      <c r="I34" s="0" t="n">
        <v>0.0019222629472273</v>
      </c>
      <c r="J34" s="0" t="n">
        <v>0.0146254740340331</v>
      </c>
      <c r="K34" s="0" t="n">
        <v>2</v>
      </c>
      <c r="L34" s="0" t="n">
        <v>9</v>
      </c>
      <c r="M34" s="46" t="n">
        <v>0.000757384498863923</v>
      </c>
      <c r="N34" s="0" t="s">
        <v>838</v>
      </c>
      <c r="Q34" s="0" t="s">
        <v>852</v>
      </c>
    </row>
    <row r="35" customFormat="false" ht="15" hidden="false" customHeight="false" outlineLevel="0" collapsed="false">
      <c r="A35" s="0" t="s">
        <v>853</v>
      </c>
      <c r="B35" s="0" t="s">
        <v>1492</v>
      </c>
      <c r="C35" s="0" t="s">
        <v>854</v>
      </c>
      <c r="D35" s="0" t="n">
        <v>2</v>
      </c>
      <c r="E35" s="0" t="n">
        <v>11</v>
      </c>
      <c r="F35" s="0" t="n">
        <v>0</v>
      </c>
      <c r="G35" s="0" t="n">
        <v>14</v>
      </c>
      <c r="H35" s="46" t="n">
        <v>0.000986193293885601</v>
      </c>
      <c r="I35" s="0" t="n">
        <v>0.0020893534334333</v>
      </c>
      <c r="J35" s="0" t="n">
        <v>0.0146254740340331</v>
      </c>
      <c r="K35" s="0" t="n">
        <v>6</v>
      </c>
      <c r="L35" s="0" t="n">
        <v>27</v>
      </c>
      <c r="M35" s="0" t="n">
        <v>0.00227215349659176</v>
      </c>
      <c r="N35" s="0" t="s">
        <v>838</v>
      </c>
      <c r="Q35" s="0" t="s">
        <v>855</v>
      </c>
    </row>
    <row r="36" customFormat="false" ht="15" hidden="false" customHeight="false" outlineLevel="0" collapsed="false">
      <c r="A36" s="0" t="s">
        <v>868</v>
      </c>
      <c r="B36" s="0" t="s">
        <v>1492</v>
      </c>
      <c r="C36" s="0" t="s">
        <v>869</v>
      </c>
      <c r="D36" s="0" t="n">
        <v>2</v>
      </c>
      <c r="E36" s="0" t="n">
        <v>39</v>
      </c>
      <c r="F36" s="0" t="n">
        <v>0</v>
      </c>
      <c r="G36" s="0" t="n">
        <v>19</v>
      </c>
      <c r="H36" s="0" t="n">
        <v>0.00349650349650349</v>
      </c>
      <c r="I36" s="0" t="n">
        <v>0.0111194626044023</v>
      </c>
      <c r="J36" s="0" t="n">
        <v>0.0722532729943605</v>
      </c>
      <c r="K36" s="0" t="n">
        <v>6</v>
      </c>
      <c r="L36" s="0" t="n">
        <v>39</v>
      </c>
      <c r="M36" s="0" t="n">
        <v>0.003281999495077</v>
      </c>
      <c r="N36" s="0" t="s">
        <v>838</v>
      </c>
      <c r="Q36" s="0" t="s">
        <v>855</v>
      </c>
    </row>
    <row r="37" customFormat="false" ht="15" hidden="false" customHeight="false" outlineLevel="0" collapsed="false">
      <c r="A37" s="0" t="s">
        <v>787</v>
      </c>
      <c r="B37" s="0" t="s">
        <v>648</v>
      </c>
      <c r="C37" s="0" t="s">
        <v>788</v>
      </c>
      <c r="D37" s="0" t="n">
        <v>5</v>
      </c>
      <c r="E37" s="0" t="n">
        <v>100</v>
      </c>
      <c r="F37" s="0" t="n">
        <v>2</v>
      </c>
      <c r="G37" s="0" t="n">
        <v>64</v>
      </c>
      <c r="H37" s="0" t="n">
        <v>0.00896539358077819</v>
      </c>
      <c r="I37" s="46" t="n">
        <v>5.34926467576912E-006</v>
      </c>
      <c r="J37" s="46" t="n">
        <v>8.02389701365369E-005</v>
      </c>
      <c r="K37" s="0" t="n">
        <v>10</v>
      </c>
      <c r="L37" s="0" t="n">
        <v>80</v>
      </c>
      <c r="M37" s="0" t="n">
        <v>0.0067323066565682</v>
      </c>
      <c r="N37" s="0" t="s">
        <v>762</v>
      </c>
      <c r="O37" s="0" t="s">
        <v>562</v>
      </c>
      <c r="P37" s="0" t="s">
        <v>335</v>
      </c>
      <c r="Q37" s="0" t="s">
        <v>763</v>
      </c>
      <c r="R37" s="0" t="s">
        <v>764</v>
      </c>
      <c r="S37" s="0" t="s">
        <v>765</v>
      </c>
    </row>
    <row r="38" customFormat="false" ht="15" hidden="false" customHeight="false" outlineLevel="0" collapsed="false">
      <c r="A38" s="0" t="s">
        <v>812</v>
      </c>
      <c r="B38" s="0" t="s">
        <v>648</v>
      </c>
      <c r="C38" s="0" t="s">
        <v>813</v>
      </c>
      <c r="D38" s="0" t="n">
        <v>7</v>
      </c>
      <c r="E38" s="0" t="n">
        <v>408</v>
      </c>
      <c r="F38" s="0" t="n">
        <v>3</v>
      </c>
      <c r="G38" s="0" t="n">
        <v>381</v>
      </c>
      <c r="H38" s="0" t="n">
        <v>0.036578805809575</v>
      </c>
      <c r="I38" s="46" t="n">
        <v>0.000254679445582661</v>
      </c>
      <c r="J38" s="0" t="n">
        <v>0.00280147390140927</v>
      </c>
      <c r="K38" s="0" t="n">
        <v>15</v>
      </c>
      <c r="L38" s="0" t="n">
        <v>152</v>
      </c>
      <c r="M38" s="0" t="n">
        <v>0.0127913826474795</v>
      </c>
      <c r="N38" s="0" t="s">
        <v>814</v>
      </c>
      <c r="O38" s="0" t="s">
        <v>547</v>
      </c>
      <c r="P38" s="0" t="s">
        <v>562</v>
      </c>
      <c r="Q38" s="0" t="s">
        <v>335</v>
      </c>
      <c r="R38" s="0" t="s">
        <v>815</v>
      </c>
      <c r="S38" s="0" t="s">
        <v>763</v>
      </c>
      <c r="T38" s="0" t="s">
        <v>764</v>
      </c>
      <c r="U38" s="0" t="s">
        <v>816</v>
      </c>
    </row>
    <row r="39" customFormat="false" ht="15" hidden="false" customHeight="false" outlineLevel="0" collapsed="false">
      <c r="A39" s="0" t="s">
        <v>870</v>
      </c>
      <c r="B39" s="0" t="s">
        <v>648</v>
      </c>
      <c r="C39" s="0" t="s">
        <v>871</v>
      </c>
      <c r="D39" s="0" t="n">
        <v>8</v>
      </c>
      <c r="E39" s="0" t="n">
        <v>1217</v>
      </c>
      <c r="F39" s="0" t="n">
        <v>6</v>
      </c>
      <c r="G39" s="0" t="n">
        <v>1002</v>
      </c>
      <c r="H39" s="0" t="n">
        <v>0.10910883987807</v>
      </c>
      <c r="I39" s="0" t="n">
        <v>0.0120422121657267</v>
      </c>
      <c r="J39" s="0" t="n">
        <v>0.0722532729943605</v>
      </c>
      <c r="K39" s="0" t="n">
        <v>24</v>
      </c>
      <c r="L39" s="0" t="n">
        <v>422</v>
      </c>
      <c r="M39" s="0" t="n">
        <v>0.0355129176133972</v>
      </c>
      <c r="N39" s="0" t="s">
        <v>872</v>
      </c>
      <c r="O39" s="0" t="s">
        <v>547</v>
      </c>
      <c r="P39" s="0" t="s">
        <v>311</v>
      </c>
      <c r="Q39" s="0" t="s">
        <v>562</v>
      </c>
      <c r="R39" s="0" t="s">
        <v>395</v>
      </c>
      <c r="S39" s="0" t="s">
        <v>569</v>
      </c>
      <c r="T39" s="0" t="s">
        <v>335</v>
      </c>
      <c r="U39" s="0" t="s">
        <v>235</v>
      </c>
      <c r="V39" s="0" t="s">
        <v>815</v>
      </c>
      <c r="W39" s="0" t="s">
        <v>873</v>
      </c>
      <c r="X39" s="0" t="s">
        <v>874</v>
      </c>
      <c r="Y39" s="0" t="s">
        <v>763</v>
      </c>
      <c r="Z39" s="0" t="s">
        <v>764</v>
      </c>
      <c r="AA39" s="0" t="s">
        <v>875</v>
      </c>
    </row>
    <row r="40" customFormat="false" ht="15" hidden="false" customHeight="false" outlineLevel="0" collapsed="false">
      <c r="A40" s="0" t="s">
        <v>882</v>
      </c>
      <c r="B40" s="0" t="s">
        <v>648</v>
      </c>
      <c r="C40" s="0" t="s">
        <v>883</v>
      </c>
      <c r="D40" s="0" t="n">
        <v>8</v>
      </c>
      <c r="E40" s="0" t="n">
        <v>1154</v>
      </c>
      <c r="F40" s="0" t="n">
        <v>3</v>
      </c>
      <c r="G40" s="0" t="n">
        <v>649</v>
      </c>
      <c r="H40" s="0" t="n">
        <v>0.10346064192218</v>
      </c>
      <c r="I40" s="0" t="n">
        <v>0.0210671643819005</v>
      </c>
      <c r="J40" s="0" t="n">
        <v>0.110039996844331</v>
      </c>
      <c r="K40" s="0" t="n">
        <v>18</v>
      </c>
      <c r="L40" s="0" t="n">
        <v>245</v>
      </c>
      <c r="M40" s="0" t="n">
        <v>0.0206176891357401</v>
      </c>
      <c r="N40" s="0" t="s">
        <v>872</v>
      </c>
      <c r="O40" s="0" t="s">
        <v>547</v>
      </c>
      <c r="P40" s="0" t="s">
        <v>562</v>
      </c>
      <c r="Q40" s="0" t="s">
        <v>335</v>
      </c>
      <c r="R40" s="0" t="s">
        <v>815</v>
      </c>
      <c r="S40" s="0" t="s">
        <v>763</v>
      </c>
      <c r="T40" s="0" t="s">
        <v>764</v>
      </c>
      <c r="U40" s="0" t="s">
        <v>884</v>
      </c>
    </row>
    <row r="41" customFormat="false" ht="15" hidden="false" customHeight="false" outlineLevel="0" collapsed="false">
      <c r="A41" s="0" t="s">
        <v>885</v>
      </c>
      <c r="B41" s="0" t="s">
        <v>648</v>
      </c>
      <c r="C41" s="0" t="s">
        <v>886</v>
      </c>
      <c r="D41" s="0" t="n">
        <v>3</v>
      </c>
      <c r="E41" s="0" t="n">
        <v>189</v>
      </c>
      <c r="F41" s="0" t="n">
        <v>2</v>
      </c>
      <c r="G41" s="0" t="n">
        <v>218</v>
      </c>
      <c r="H41" s="0" t="n">
        <v>0.0169445938676707</v>
      </c>
      <c r="I41" s="0" t="n">
        <v>0.0218984498621527</v>
      </c>
      <c r="J41" s="0" t="n">
        <v>0.110039996844331</v>
      </c>
      <c r="K41" s="0" t="n">
        <v>5</v>
      </c>
      <c r="L41" s="0" t="n">
        <v>75</v>
      </c>
      <c r="M41" s="0" t="n">
        <v>0.00631153749053269</v>
      </c>
      <c r="N41" s="0" t="s">
        <v>887</v>
      </c>
      <c r="O41" s="0" t="s">
        <v>311</v>
      </c>
      <c r="P41" s="0" t="s">
        <v>395</v>
      </c>
      <c r="Q41" s="0" t="s">
        <v>235</v>
      </c>
      <c r="R41" s="0" t="s">
        <v>873</v>
      </c>
      <c r="S41" s="0" t="s">
        <v>888</v>
      </c>
    </row>
    <row r="42" customFormat="false" ht="15" hidden="false" customHeight="false" outlineLevel="0" collapsed="false">
      <c r="A42" s="0" t="s">
        <v>902</v>
      </c>
      <c r="B42" s="0" t="s">
        <v>648</v>
      </c>
      <c r="C42" s="0" t="s">
        <v>903</v>
      </c>
      <c r="D42" s="0" t="n">
        <v>3</v>
      </c>
      <c r="E42" s="0" t="n">
        <v>324</v>
      </c>
      <c r="F42" s="0" t="n">
        <v>3</v>
      </c>
      <c r="G42" s="0" t="n">
        <v>372</v>
      </c>
      <c r="H42" s="0" t="n">
        <v>0.0290478752017213</v>
      </c>
      <c r="I42" s="0" t="n">
        <v>0.0371976621655397</v>
      </c>
      <c r="J42" s="0" t="n">
        <v>0.185988310827698</v>
      </c>
      <c r="K42" s="0" t="n">
        <v>6</v>
      </c>
      <c r="L42" s="0" t="n">
        <v>150</v>
      </c>
      <c r="M42" s="0" t="n">
        <v>0.0126230749810653</v>
      </c>
      <c r="N42" s="0" t="s">
        <v>887</v>
      </c>
      <c r="O42" s="0" t="s">
        <v>311</v>
      </c>
      <c r="P42" s="0" t="s">
        <v>395</v>
      </c>
      <c r="Q42" s="0" t="s">
        <v>569</v>
      </c>
      <c r="R42" s="0" t="s">
        <v>235</v>
      </c>
      <c r="S42" s="0" t="s">
        <v>873</v>
      </c>
      <c r="T42" s="0" t="s">
        <v>874</v>
      </c>
      <c r="U42" s="0" t="s">
        <v>904</v>
      </c>
    </row>
    <row r="43" customFormat="false" ht="15" hidden="false" customHeight="false" outlineLevel="0" collapsed="false">
      <c r="A43" s="0" t="s">
        <v>918</v>
      </c>
      <c r="B43" s="0" t="s">
        <v>648</v>
      </c>
      <c r="C43" s="0" t="s">
        <v>919</v>
      </c>
      <c r="D43" s="0" t="n">
        <v>0</v>
      </c>
      <c r="E43" s="0" t="n">
        <v>5</v>
      </c>
      <c r="F43" s="0" t="n">
        <v>1</v>
      </c>
      <c r="G43" s="0" t="n">
        <v>12</v>
      </c>
      <c r="H43" s="46" t="n">
        <v>0.000448269679038909</v>
      </c>
      <c r="I43" s="0" t="n">
        <v>0.0435417295688026</v>
      </c>
      <c r="J43" s="0" t="n">
        <v>0.217708647844013</v>
      </c>
      <c r="K43" s="0" t="n">
        <v>1</v>
      </c>
      <c r="L43" s="0" t="n">
        <v>4</v>
      </c>
      <c r="M43" s="46" t="n">
        <v>0.00033661533282841</v>
      </c>
      <c r="O43" s="0" t="s">
        <v>579</v>
      </c>
      <c r="P43" s="0" t="s">
        <v>920</v>
      </c>
      <c r="Q43" s="0" t="s">
        <v>921</v>
      </c>
    </row>
    <row r="44" customFormat="false" ht="15" hidden="false" customHeight="false" outlineLevel="0" collapsed="false">
      <c r="A44" s="0" t="s">
        <v>760</v>
      </c>
      <c r="B44" s="0" t="s">
        <v>1493</v>
      </c>
      <c r="C44" s="0" t="s">
        <v>761</v>
      </c>
      <c r="D44" s="0" t="n">
        <v>5</v>
      </c>
      <c r="E44" s="0" t="n">
        <v>44</v>
      </c>
      <c r="F44" s="0" t="n">
        <v>2</v>
      </c>
      <c r="G44" s="0" t="n">
        <v>28</v>
      </c>
      <c r="H44" s="0" t="n">
        <v>0.0039447731755424</v>
      </c>
      <c r="I44" s="46" t="n">
        <v>3.95559851540383E-008</v>
      </c>
      <c r="J44" s="46" t="n">
        <v>8.70231673388843E-007</v>
      </c>
      <c r="K44" s="0" t="n">
        <v>10</v>
      </c>
      <c r="L44" s="0" t="n">
        <v>26</v>
      </c>
      <c r="M44" s="0" t="n">
        <v>0.00218799966338466</v>
      </c>
      <c r="N44" s="0" t="s">
        <v>762</v>
      </c>
      <c r="O44" s="0" t="s">
        <v>562</v>
      </c>
      <c r="P44" s="0" t="s">
        <v>335</v>
      </c>
      <c r="Q44" s="0" t="s">
        <v>763</v>
      </c>
      <c r="R44" s="0" t="s">
        <v>764</v>
      </c>
      <c r="S44" s="0" t="s">
        <v>765</v>
      </c>
    </row>
    <row r="45" customFormat="false" ht="15" hidden="false" customHeight="false" outlineLevel="0" collapsed="false">
      <c r="A45" s="0" t="s">
        <v>766</v>
      </c>
      <c r="B45" s="0" t="s">
        <v>927</v>
      </c>
      <c r="C45" s="0" t="s">
        <v>767</v>
      </c>
      <c r="D45" s="0" t="n">
        <v>4</v>
      </c>
      <c r="E45" s="0" t="n">
        <v>10</v>
      </c>
      <c r="F45" s="0" t="n">
        <v>1</v>
      </c>
      <c r="G45" s="0" t="n">
        <v>25</v>
      </c>
      <c r="H45" s="46" t="n">
        <v>0.000896539358077819</v>
      </c>
      <c r="I45" s="46" t="n">
        <v>5.43550306986162E-008</v>
      </c>
      <c r="J45" s="46" t="n">
        <v>1.14145564467094E-006</v>
      </c>
      <c r="K45" s="0" t="n">
        <v>3</v>
      </c>
      <c r="L45" s="0" t="n">
        <v>3</v>
      </c>
      <c r="M45" s="46" t="n">
        <v>0.000252461499621307</v>
      </c>
      <c r="N45" s="0" t="s">
        <v>768</v>
      </c>
      <c r="O45" s="0" t="s">
        <v>562</v>
      </c>
      <c r="P45" s="0" t="s">
        <v>763</v>
      </c>
      <c r="Q45" s="0" t="s">
        <v>769</v>
      </c>
    </row>
    <row r="46" customFormat="false" ht="15" hidden="false" customHeight="false" outlineLevel="0" collapsed="false">
      <c r="A46" s="0" t="s">
        <v>770</v>
      </c>
      <c r="B46" s="0" t="s">
        <v>927</v>
      </c>
      <c r="C46" s="0" t="s">
        <v>771</v>
      </c>
      <c r="D46" s="0" t="n">
        <v>4</v>
      </c>
      <c r="E46" s="0" t="n">
        <v>10</v>
      </c>
      <c r="F46" s="0" t="n">
        <v>3</v>
      </c>
      <c r="G46" s="0" t="n">
        <v>33</v>
      </c>
      <c r="H46" s="46" t="n">
        <v>0.000896539358077819</v>
      </c>
      <c r="I46" s="46" t="n">
        <v>1.18419744676856E-007</v>
      </c>
      <c r="J46" s="46" t="n">
        <v>2.24997514886027E-006</v>
      </c>
      <c r="K46" s="0" t="n">
        <v>5</v>
      </c>
      <c r="L46" s="0" t="n">
        <v>5</v>
      </c>
      <c r="M46" s="46" t="n">
        <v>0.000420769166035512</v>
      </c>
      <c r="N46" s="0" t="s">
        <v>768</v>
      </c>
      <c r="O46" s="0" t="s">
        <v>566</v>
      </c>
      <c r="P46" s="0" t="s">
        <v>562</v>
      </c>
      <c r="Q46" s="0" t="s">
        <v>372</v>
      </c>
      <c r="R46" s="0" t="s">
        <v>372</v>
      </c>
      <c r="S46" s="0" t="s">
        <v>566</v>
      </c>
      <c r="T46" s="0" t="s">
        <v>772</v>
      </c>
    </row>
    <row r="47" customFormat="false" ht="15" hidden="false" customHeight="false" outlineLevel="0" collapsed="false">
      <c r="A47" s="0" t="s">
        <v>773</v>
      </c>
      <c r="B47" s="0" t="s">
        <v>927</v>
      </c>
      <c r="C47" s="0" t="s">
        <v>774</v>
      </c>
      <c r="D47" s="0" t="n">
        <v>4</v>
      </c>
      <c r="E47" s="0" t="n">
        <v>33</v>
      </c>
      <c r="F47" s="0" t="n">
        <v>3</v>
      </c>
      <c r="G47" s="0" t="n">
        <v>73</v>
      </c>
      <c r="H47" s="0" t="n">
        <v>0.0029585798816568</v>
      </c>
      <c r="I47" s="46" t="n">
        <v>4.44174471203595E-007</v>
      </c>
      <c r="J47" s="46" t="n">
        <v>7.99514048166472E-006</v>
      </c>
      <c r="K47" s="0" t="n">
        <v>16</v>
      </c>
      <c r="L47" s="0" t="n">
        <v>30</v>
      </c>
      <c r="M47" s="0" t="n">
        <v>0.00252461499621307</v>
      </c>
      <c r="N47" s="0" t="s">
        <v>768</v>
      </c>
      <c r="O47" s="0" t="s">
        <v>547</v>
      </c>
      <c r="P47" s="0" t="s">
        <v>566</v>
      </c>
      <c r="Q47" s="0" t="s">
        <v>562</v>
      </c>
      <c r="R47" s="0" t="s">
        <v>775</v>
      </c>
      <c r="S47" s="0" t="s">
        <v>776</v>
      </c>
      <c r="T47" s="0" t="s">
        <v>566</v>
      </c>
      <c r="U47" s="0" t="s">
        <v>763</v>
      </c>
      <c r="V47" s="0" t="s">
        <v>777</v>
      </c>
    </row>
    <row r="48" customFormat="false" ht="15" hidden="false" customHeight="false" outlineLevel="0" collapsed="false">
      <c r="A48" s="0" t="s">
        <v>784</v>
      </c>
      <c r="B48" s="0" t="s">
        <v>927</v>
      </c>
      <c r="C48" s="0" t="s">
        <v>785</v>
      </c>
      <c r="D48" s="0" t="n">
        <v>4</v>
      </c>
      <c r="E48" s="0" t="n">
        <v>19</v>
      </c>
      <c r="F48" s="0" t="n">
        <v>3</v>
      </c>
      <c r="G48" s="0" t="n">
        <v>68</v>
      </c>
      <c r="H48" s="0" t="n">
        <v>0.00170342478034785</v>
      </c>
      <c r="I48" s="46" t="n">
        <v>4.14046084717956E-006</v>
      </c>
      <c r="J48" s="46" t="n">
        <v>6.21069127076934E-005</v>
      </c>
      <c r="K48" s="0" t="n">
        <v>16</v>
      </c>
      <c r="L48" s="0" t="n">
        <v>19</v>
      </c>
      <c r="M48" s="0" t="n">
        <v>0.00159892283093494</v>
      </c>
      <c r="N48" s="0" t="s">
        <v>768</v>
      </c>
      <c r="O48" s="0" t="s">
        <v>566</v>
      </c>
      <c r="P48" s="0" t="s">
        <v>562</v>
      </c>
      <c r="Q48" s="0" t="s">
        <v>372</v>
      </c>
      <c r="R48" s="0" t="s">
        <v>372</v>
      </c>
      <c r="S48" s="0" t="s">
        <v>566</v>
      </c>
      <c r="T48" s="0" t="s">
        <v>786</v>
      </c>
    </row>
    <row r="49" customFormat="false" ht="15" hidden="false" customHeight="false" outlineLevel="0" collapsed="false">
      <c r="A49" s="0" t="s">
        <v>797</v>
      </c>
      <c r="B49" s="0" t="s">
        <v>927</v>
      </c>
      <c r="C49" s="0" t="s">
        <v>798</v>
      </c>
      <c r="D49" s="0" t="n">
        <v>4</v>
      </c>
      <c r="E49" s="0" t="n">
        <v>72</v>
      </c>
      <c r="F49" s="0" t="n">
        <v>5</v>
      </c>
      <c r="G49" s="0" t="n">
        <v>168</v>
      </c>
      <c r="H49" s="0" t="n">
        <v>0.0064550833781603</v>
      </c>
      <c r="I49" s="46" t="n">
        <v>4.12698616679696E-005</v>
      </c>
      <c r="J49" s="46" t="n">
        <v>0.000536508201683605</v>
      </c>
      <c r="K49" s="0" t="n">
        <v>53</v>
      </c>
      <c r="L49" s="0" t="n">
        <v>83</v>
      </c>
      <c r="M49" s="0" t="n">
        <v>0.00698476815618951</v>
      </c>
      <c r="N49" s="0" t="s">
        <v>768</v>
      </c>
      <c r="O49" s="0" t="s">
        <v>547</v>
      </c>
      <c r="P49" s="0" t="s">
        <v>566</v>
      </c>
      <c r="Q49" s="0" t="s">
        <v>562</v>
      </c>
      <c r="R49" s="0" t="s">
        <v>372</v>
      </c>
      <c r="S49" s="0" t="s">
        <v>335</v>
      </c>
      <c r="T49" s="0" t="s">
        <v>372</v>
      </c>
      <c r="U49" s="0" t="s">
        <v>775</v>
      </c>
      <c r="V49" s="0" t="s">
        <v>776</v>
      </c>
      <c r="W49" s="0" t="s">
        <v>566</v>
      </c>
      <c r="X49" s="0" t="s">
        <v>763</v>
      </c>
      <c r="Y49" s="0" t="s">
        <v>764</v>
      </c>
      <c r="Z49" s="0" t="s">
        <v>799</v>
      </c>
    </row>
    <row r="50" customFormat="false" ht="15" hidden="false" customHeight="false" outlineLevel="0" collapsed="false">
      <c r="A50" s="0" t="s">
        <v>809</v>
      </c>
      <c r="B50" s="0" t="s">
        <v>927</v>
      </c>
      <c r="C50" s="0" t="s">
        <v>810</v>
      </c>
      <c r="D50" s="0" t="n">
        <v>1</v>
      </c>
      <c r="E50" s="0" t="n">
        <v>4</v>
      </c>
      <c r="F50" s="0" t="n">
        <v>1</v>
      </c>
      <c r="G50" s="0" t="n">
        <v>2</v>
      </c>
      <c r="H50" s="46" t="n">
        <v>0.000358615743231127</v>
      </c>
      <c r="I50" s="46" t="n">
        <v>0.000134812955716712</v>
      </c>
      <c r="J50" s="0" t="n">
        <v>0.00148294251288383</v>
      </c>
      <c r="K50" s="0" t="n">
        <v>2</v>
      </c>
      <c r="L50" s="0" t="n">
        <v>2</v>
      </c>
      <c r="M50" s="46" t="n">
        <v>0.000168307666414205</v>
      </c>
      <c r="N50" s="0" t="s">
        <v>335</v>
      </c>
      <c r="O50" s="0" t="s">
        <v>547</v>
      </c>
      <c r="P50" s="0" t="s">
        <v>776</v>
      </c>
      <c r="Q50" s="0" t="s">
        <v>811</v>
      </c>
    </row>
    <row r="51" customFormat="false" ht="15" hidden="false" customHeight="false" outlineLevel="0" collapsed="false">
      <c r="A51" s="0" t="s">
        <v>827</v>
      </c>
      <c r="B51" s="0" t="s">
        <v>927</v>
      </c>
      <c r="C51" s="0" t="s">
        <v>828</v>
      </c>
      <c r="D51" s="0" t="n">
        <v>1</v>
      </c>
      <c r="E51" s="0" t="n">
        <v>5</v>
      </c>
      <c r="F51" s="0" t="n">
        <v>2</v>
      </c>
      <c r="G51" s="0" t="n">
        <v>9</v>
      </c>
      <c r="H51" s="46" t="n">
        <v>0.000448269679038909</v>
      </c>
      <c r="I51" s="46" t="n">
        <v>0.000625069642794184</v>
      </c>
      <c r="J51" s="0" t="n">
        <v>0.00562562678514766</v>
      </c>
      <c r="K51" s="0" t="n">
        <v>5</v>
      </c>
      <c r="L51" s="0" t="n">
        <v>5</v>
      </c>
      <c r="M51" s="46" t="n">
        <v>0.000420769166035512</v>
      </c>
      <c r="N51" s="0" t="s">
        <v>566</v>
      </c>
      <c r="O51" s="0" t="s">
        <v>566</v>
      </c>
      <c r="P51" s="0" t="s">
        <v>562</v>
      </c>
      <c r="Q51" s="0" t="s">
        <v>566</v>
      </c>
      <c r="R51" s="0" t="s">
        <v>829</v>
      </c>
    </row>
    <row r="52" customFormat="false" ht="15" hidden="false" customHeight="false" outlineLevel="0" collapsed="false">
      <c r="A52" s="0" t="s">
        <v>833</v>
      </c>
      <c r="B52" s="0" t="s">
        <v>927</v>
      </c>
      <c r="C52" s="0" t="s">
        <v>834</v>
      </c>
      <c r="D52" s="0" t="n">
        <v>1</v>
      </c>
      <c r="E52" s="0" t="n">
        <v>8</v>
      </c>
      <c r="F52" s="0" t="n">
        <v>2</v>
      </c>
      <c r="G52" s="0" t="n">
        <v>8</v>
      </c>
      <c r="H52" s="46" t="n">
        <v>0.000717231486462255</v>
      </c>
      <c r="I52" s="46" t="n">
        <v>0.00082925136929679</v>
      </c>
      <c r="J52" s="0" t="n">
        <v>0.00746326232367111</v>
      </c>
      <c r="K52" s="0" t="n">
        <v>6</v>
      </c>
      <c r="L52" s="0" t="n">
        <v>9</v>
      </c>
      <c r="M52" s="46" t="n">
        <v>0.000757384498863923</v>
      </c>
      <c r="N52" s="0" t="s">
        <v>566</v>
      </c>
      <c r="O52" s="0" t="s">
        <v>566</v>
      </c>
      <c r="P52" s="0" t="s">
        <v>562</v>
      </c>
      <c r="Q52" s="0" t="s">
        <v>566</v>
      </c>
      <c r="R52" s="0" t="s">
        <v>835</v>
      </c>
    </row>
    <row r="53" customFormat="false" ht="15" hidden="false" customHeight="false" outlineLevel="0" collapsed="false">
      <c r="A53" s="0" t="s">
        <v>843</v>
      </c>
      <c r="B53" s="0" t="s">
        <v>927</v>
      </c>
      <c r="C53" s="0" t="s">
        <v>844</v>
      </c>
      <c r="D53" s="0" t="n">
        <v>2</v>
      </c>
      <c r="E53" s="0" t="n">
        <v>33</v>
      </c>
      <c r="F53" s="0" t="n">
        <v>3</v>
      </c>
      <c r="G53" s="0" t="n">
        <v>47</v>
      </c>
      <c r="H53" s="0" t="n">
        <v>0.0029585798816568</v>
      </c>
      <c r="I53" s="0" t="n">
        <v>0.00108988983102908</v>
      </c>
      <c r="J53" s="0" t="n">
        <v>0.00871911864823271</v>
      </c>
      <c r="K53" s="0" t="n">
        <v>21</v>
      </c>
      <c r="L53" s="0" t="n">
        <v>34</v>
      </c>
      <c r="M53" s="0" t="n">
        <v>0.00286123032904148</v>
      </c>
      <c r="N53" s="0" t="s">
        <v>845</v>
      </c>
      <c r="O53" s="0" t="s">
        <v>566</v>
      </c>
      <c r="P53" s="0" t="s">
        <v>562</v>
      </c>
      <c r="Q53" s="0" t="s">
        <v>335</v>
      </c>
      <c r="R53" s="0" t="s">
        <v>566</v>
      </c>
      <c r="S53" s="0" t="s">
        <v>764</v>
      </c>
      <c r="T53" s="0" t="s">
        <v>846</v>
      </c>
    </row>
    <row r="54" customFormat="false" ht="15" hidden="false" customHeight="false" outlineLevel="0" collapsed="false">
      <c r="A54" s="0" t="s">
        <v>862</v>
      </c>
      <c r="B54" s="0" t="s">
        <v>927</v>
      </c>
      <c r="C54" s="0" t="s">
        <v>863</v>
      </c>
      <c r="D54" s="0" t="n">
        <v>1</v>
      </c>
      <c r="E54" s="0" t="n">
        <v>11</v>
      </c>
      <c r="F54" s="0" t="n">
        <v>2</v>
      </c>
      <c r="G54" s="0" t="n">
        <v>23</v>
      </c>
      <c r="H54" s="46" t="n">
        <v>0.000986193293885601</v>
      </c>
      <c r="I54" s="0" t="n">
        <v>0.00344304620118929</v>
      </c>
      <c r="J54" s="0" t="n">
        <v>0.024101323408325</v>
      </c>
      <c r="K54" s="0" t="n">
        <v>10</v>
      </c>
      <c r="L54" s="0" t="n">
        <v>13</v>
      </c>
      <c r="M54" s="0" t="n">
        <v>0.00109399983169233</v>
      </c>
      <c r="N54" s="0" t="s">
        <v>566</v>
      </c>
      <c r="O54" s="0" t="s">
        <v>566</v>
      </c>
      <c r="P54" s="0" t="s">
        <v>562</v>
      </c>
      <c r="Q54" s="0" t="s">
        <v>775</v>
      </c>
      <c r="R54" s="0" t="s">
        <v>566</v>
      </c>
      <c r="S54" s="0" t="s">
        <v>763</v>
      </c>
      <c r="T54" s="0" t="s">
        <v>864</v>
      </c>
    </row>
    <row r="55" customFormat="false" ht="15" hidden="false" customHeight="false" outlineLevel="0" collapsed="false">
      <c r="A55" s="0" t="s">
        <v>889</v>
      </c>
      <c r="B55" s="0" t="s">
        <v>927</v>
      </c>
      <c r="C55" s="0" t="s">
        <v>890</v>
      </c>
      <c r="D55" s="0" t="n">
        <v>1</v>
      </c>
      <c r="E55" s="0" t="n">
        <v>6</v>
      </c>
      <c r="F55" s="0" t="n">
        <v>0</v>
      </c>
      <c r="G55" s="0" t="n">
        <v>2</v>
      </c>
      <c r="H55" s="46" t="n">
        <v>0.000537923614846691</v>
      </c>
      <c r="I55" s="0" t="n">
        <v>0.0220079993688662</v>
      </c>
      <c r="J55" s="0" t="n">
        <v>0.110039996844331</v>
      </c>
      <c r="K55" s="0" t="n">
        <v>3</v>
      </c>
      <c r="L55" s="0" t="n">
        <v>3</v>
      </c>
      <c r="M55" s="46" t="n">
        <v>0.000252461499621307</v>
      </c>
      <c r="N55" s="0" t="s">
        <v>335</v>
      </c>
      <c r="Q55" s="0" t="s">
        <v>891</v>
      </c>
    </row>
    <row r="56" customFormat="false" ht="15" hidden="false" customHeight="false" outlineLevel="0" collapsed="false">
      <c r="A56" s="0" t="s">
        <v>892</v>
      </c>
      <c r="B56" s="0" t="s">
        <v>927</v>
      </c>
      <c r="C56" s="0" t="s">
        <v>893</v>
      </c>
      <c r="D56" s="0" t="n">
        <v>1</v>
      </c>
      <c r="E56" s="0" t="n">
        <v>8</v>
      </c>
      <c r="F56" s="0" t="n">
        <v>0</v>
      </c>
      <c r="G56" s="0" t="n">
        <v>0</v>
      </c>
      <c r="H56" s="46" t="n">
        <v>0.000717231486462255</v>
      </c>
      <c r="I56" s="0" t="n">
        <v>0.0220079993688662</v>
      </c>
      <c r="J56" s="0" t="n">
        <v>0.110039996844331</v>
      </c>
      <c r="K56" s="0" t="n">
        <v>1</v>
      </c>
      <c r="L56" s="0" t="n">
        <v>2</v>
      </c>
      <c r="M56" s="46" t="n">
        <v>0.000168307666414205</v>
      </c>
      <c r="N56" s="0" t="s">
        <v>569</v>
      </c>
      <c r="Q56" s="0" t="s">
        <v>894</v>
      </c>
    </row>
    <row r="57" customFormat="false" ht="15" hidden="false" customHeight="false" outlineLevel="0" collapsed="false">
      <c r="A57" s="0" t="s">
        <v>926</v>
      </c>
      <c r="B57" s="0" t="s">
        <v>927</v>
      </c>
      <c r="C57" s="0" t="s">
        <v>927</v>
      </c>
      <c r="D57" s="0" t="n">
        <v>5</v>
      </c>
      <c r="E57" s="0" t="n">
        <v>731</v>
      </c>
      <c r="F57" s="0" t="n">
        <v>8</v>
      </c>
      <c r="G57" s="0" t="n">
        <v>859</v>
      </c>
      <c r="H57" s="0" t="n">
        <v>0.0655370270754886</v>
      </c>
      <c r="I57" s="0" t="n">
        <v>0.0582111745280624</v>
      </c>
      <c r="J57" s="0" t="n">
        <v>0.289578219524913</v>
      </c>
      <c r="K57" s="0" t="n">
        <v>58</v>
      </c>
      <c r="L57" s="0" t="n">
        <v>435</v>
      </c>
      <c r="M57" s="0" t="n">
        <v>0.0366069174450896</v>
      </c>
      <c r="N57" s="0" t="s">
        <v>928</v>
      </c>
      <c r="O57" s="0" t="s">
        <v>547</v>
      </c>
      <c r="P57" s="0" t="s">
        <v>566</v>
      </c>
      <c r="Q57" s="0" t="s">
        <v>558</v>
      </c>
      <c r="R57" s="0" t="s">
        <v>562</v>
      </c>
      <c r="S57" s="0" t="s">
        <v>569</v>
      </c>
      <c r="T57" s="0" t="s">
        <v>380</v>
      </c>
      <c r="U57" s="0" t="s">
        <v>372</v>
      </c>
      <c r="V57" s="0" t="s">
        <v>335</v>
      </c>
      <c r="W57" s="0" t="s">
        <v>372</v>
      </c>
      <c r="X57" s="0" t="s">
        <v>775</v>
      </c>
      <c r="Y57" s="0" t="s">
        <v>929</v>
      </c>
      <c r="Z57" s="0" t="s">
        <v>776</v>
      </c>
      <c r="AA57" s="0" t="s">
        <v>930</v>
      </c>
      <c r="AB57" s="0" t="s">
        <v>566</v>
      </c>
      <c r="AC57" s="0" t="s">
        <v>931</v>
      </c>
      <c r="AD57" s="0" t="s">
        <v>763</v>
      </c>
      <c r="AE57" s="0" t="s">
        <v>764</v>
      </c>
      <c r="AF57" s="0" t="s">
        <v>932</v>
      </c>
    </row>
    <row r="58" customFormat="false" ht="15" hidden="false" customHeight="false" outlineLevel="0" collapsed="false">
      <c r="A58" s="0" t="s">
        <v>789</v>
      </c>
      <c r="B58" s="0" t="s">
        <v>1040</v>
      </c>
      <c r="C58" s="0" t="s">
        <v>790</v>
      </c>
      <c r="D58" s="0" t="n">
        <v>6</v>
      </c>
      <c r="E58" s="0" t="n">
        <v>129</v>
      </c>
      <c r="F58" s="0" t="n">
        <v>0</v>
      </c>
      <c r="G58" s="0" t="n">
        <v>51</v>
      </c>
      <c r="H58" s="0" t="n">
        <v>0.0115653577192038</v>
      </c>
      <c r="I58" s="46" t="n">
        <v>1.04459517555888E-005</v>
      </c>
      <c r="J58" s="46" t="n">
        <v>0.000146243324578243</v>
      </c>
      <c r="K58" s="0" t="n">
        <v>24</v>
      </c>
      <c r="L58" s="0" t="n">
        <v>33</v>
      </c>
      <c r="M58" s="0" t="n">
        <v>0.00277707649583438</v>
      </c>
      <c r="N58" s="0" t="s">
        <v>791</v>
      </c>
      <c r="Q58" s="0" t="s">
        <v>792</v>
      </c>
    </row>
    <row r="59" customFormat="false" ht="15" hidden="false" customHeight="false" outlineLevel="0" collapsed="false">
      <c r="A59" s="0" t="s">
        <v>793</v>
      </c>
      <c r="B59" s="0" t="s">
        <v>1040</v>
      </c>
      <c r="C59" s="0" t="s">
        <v>794</v>
      </c>
      <c r="D59" s="0" t="n">
        <v>5</v>
      </c>
      <c r="E59" s="0" t="n">
        <v>99</v>
      </c>
      <c r="F59" s="0" t="n">
        <v>0</v>
      </c>
      <c r="G59" s="0" t="n">
        <v>12</v>
      </c>
      <c r="H59" s="0" t="n">
        <v>0.00887573964497041</v>
      </c>
      <c r="I59" s="46" t="n">
        <v>1.42709931085782E-005</v>
      </c>
      <c r="J59" s="46" t="n">
        <v>0.000185522910411517</v>
      </c>
      <c r="K59" s="0" t="n">
        <v>10</v>
      </c>
      <c r="L59" s="0" t="n">
        <v>12</v>
      </c>
      <c r="M59" s="0" t="n">
        <v>0.00100984599848523</v>
      </c>
      <c r="N59" s="0" t="s">
        <v>795</v>
      </c>
      <c r="Q59" s="0" t="s">
        <v>796</v>
      </c>
    </row>
    <row r="60" customFormat="false" ht="15" hidden="false" customHeight="false" outlineLevel="0" collapsed="false">
      <c r="A60" s="0" t="s">
        <v>847</v>
      </c>
      <c r="B60" s="0" t="s">
        <v>1040</v>
      </c>
      <c r="C60" s="0" t="s">
        <v>848</v>
      </c>
      <c r="D60" s="0" t="n">
        <v>2</v>
      </c>
      <c r="E60" s="0" t="n">
        <v>19</v>
      </c>
      <c r="F60" s="0" t="n">
        <v>0</v>
      </c>
      <c r="G60" s="0" t="n">
        <v>0</v>
      </c>
      <c r="H60" s="0" t="n">
        <v>0.00170342478034785</v>
      </c>
      <c r="I60" s="0" t="n">
        <v>0.00132110243728222</v>
      </c>
      <c r="J60" s="0" t="n">
        <v>0.0105688194982578</v>
      </c>
      <c r="K60" s="0" t="n">
        <v>4</v>
      </c>
      <c r="L60" s="0" t="n">
        <v>10</v>
      </c>
      <c r="M60" s="46" t="n">
        <v>0.000841538332071025</v>
      </c>
      <c r="N60" s="0" t="s">
        <v>845</v>
      </c>
      <c r="Q60" s="0" t="s">
        <v>849</v>
      </c>
    </row>
    <row r="61" customFormat="false" ht="15" hidden="false" customHeight="false" outlineLevel="0" collapsed="false">
      <c r="A61" s="0" t="s">
        <v>859</v>
      </c>
      <c r="B61" s="0" t="s">
        <v>1040</v>
      </c>
      <c r="C61" s="0" t="s">
        <v>860</v>
      </c>
      <c r="D61" s="0" t="n">
        <v>2</v>
      </c>
      <c r="E61" s="0" t="n">
        <v>6</v>
      </c>
      <c r="F61" s="0" t="n">
        <v>0</v>
      </c>
      <c r="G61" s="0" t="n">
        <v>21</v>
      </c>
      <c r="H61" s="46" t="n">
        <v>0.000537923614846691</v>
      </c>
      <c r="I61" s="0" t="n">
        <v>0.00263035705892766</v>
      </c>
      <c r="J61" s="0" t="n">
        <v>0.0184124994124936</v>
      </c>
      <c r="K61" s="0" t="n">
        <v>4</v>
      </c>
      <c r="L61" s="0" t="n">
        <v>5</v>
      </c>
      <c r="M61" s="46" t="n">
        <v>0.000420769166035512</v>
      </c>
      <c r="N61" s="0" t="s">
        <v>845</v>
      </c>
      <c r="Q61" s="0" t="s">
        <v>861</v>
      </c>
    </row>
    <row r="62" customFormat="false" ht="15" hidden="false" customHeight="false" outlineLevel="0" collapsed="false">
      <c r="A62" s="0" t="s">
        <v>876</v>
      </c>
      <c r="B62" s="0" t="s">
        <v>1040</v>
      </c>
      <c r="C62" s="0" t="s">
        <v>877</v>
      </c>
      <c r="D62" s="0" t="n">
        <v>1</v>
      </c>
      <c r="E62" s="0" t="n">
        <v>4</v>
      </c>
      <c r="F62" s="0" t="n">
        <v>0</v>
      </c>
      <c r="G62" s="0" t="n">
        <v>1</v>
      </c>
      <c r="H62" s="46" t="n">
        <v>0.000358615743231127</v>
      </c>
      <c r="I62" s="0" t="n">
        <v>0.0138111219638912</v>
      </c>
      <c r="J62" s="0" t="n">
        <v>0.0828667317833473</v>
      </c>
      <c r="K62" s="0" t="n">
        <v>4</v>
      </c>
      <c r="L62" s="0" t="n">
        <v>4</v>
      </c>
      <c r="M62" s="46" t="n">
        <v>0.00033661533282841</v>
      </c>
      <c r="N62" s="0" t="s">
        <v>335</v>
      </c>
      <c r="Q62" s="0" t="s">
        <v>878</v>
      </c>
    </row>
    <row r="64" customFormat="false" ht="15" hidden="false" customHeight="false" outlineLevel="0" collapsed="false">
      <c r="H64" s="46"/>
      <c r="M64" s="46"/>
    </row>
    <row r="65" customFormat="false" ht="15" hidden="false" customHeight="false" outlineLevel="0" collapsed="false">
      <c r="A65" s="47" t="s">
        <v>1494</v>
      </c>
      <c r="B65" s="47" t="s">
        <v>1495</v>
      </c>
      <c r="C65" s="47" t="s">
        <v>55</v>
      </c>
      <c r="D65" s="47"/>
      <c r="E65" s="47"/>
      <c r="F65" s="47" t="s">
        <v>604</v>
      </c>
      <c r="H65" s="46"/>
      <c r="M65" s="46"/>
      <c r="O65" s="47" t="s">
        <v>1494</v>
      </c>
      <c r="P65" s="47" t="s">
        <v>604</v>
      </c>
    </row>
    <row r="66" customFormat="false" ht="15" hidden="false" customHeight="false" outlineLevel="0" collapsed="false">
      <c r="A66" s="0" t="s">
        <v>1489</v>
      </c>
      <c r="B66" s="0" t="s">
        <v>1496</v>
      </c>
      <c r="C66" s="0" t="n">
        <v>23</v>
      </c>
      <c r="F66" s="44" t="n">
        <f aca="false">100*C66/$C$77</f>
        <v>26.4367816091954</v>
      </c>
      <c r="O66" s="0" t="s">
        <v>1489</v>
      </c>
      <c r="P66" s="44" t="n">
        <v>26.4367816091954</v>
      </c>
    </row>
    <row r="67" customFormat="false" ht="15" hidden="false" customHeight="false" outlineLevel="0" collapsed="false">
      <c r="A67" s="0" t="s">
        <v>747</v>
      </c>
      <c r="B67" s="0" t="s">
        <v>748</v>
      </c>
      <c r="C67" s="0" t="n">
        <v>21</v>
      </c>
      <c r="F67" s="44" t="n">
        <f aca="false">100*C67/$C$77</f>
        <v>24.1379310344828</v>
      </c>
      <c r="O67" s="0" t="s">
        <v>747</v>
      </c>
      <c r="P67" s="44" t="n">
        <v>24.1379310344828</v>
      </c>
    </row>
    <row r="68" customFormat="false" ht="15" hidden="false" customHeight="false" outlineLevel="0" collapsed="false">
      <c r="A68" s="0" t="s">
        <v>1491</v>
      </c>
      <c r="B68" s="0" t="s">
        <v>1497</v>
      </c>
      <c r="C68" s="0" t="n">
        <v>12</v>
      </c>
      <c r="F68" s="44" t="n">
        <f aca="false">100*C68/$C$77</f>
        <v>13.7931034482759</v>
      </c>
      <c r="H68" s="46"/>
      <c r="M68" s="46"/>
      <c r="O68" s="0" t="s">
        <v>1054</v>
      </c>
      <c r="P68" s="44" t="n">
        <v>13.7931034482759</v>
      </c>
    </row>
    <row r="69" customFormat="false" ht="15" hidden="false" customHeight="false" outlineLevel="0" collapsed="false">
      <c r="A69" s="0" t="s">
        <v>648</v>
      </c>
      <c r="B69" s="0" t="s">
        <v>872</v>
      </c>
      <c r="C69" s="0" t="n">
        <v>8</v>
      </c>
      <c r="F69" s="44" t="n">
        <f aca="false">100*C69/$C$77</f>
        <v>9.19540229885057</v>
      </c>
      <c r="M69" s="46"/>
      <c r="O69" s="0" t="s">
        <v>648</v>
      </c>
      <c r="P69" s="44" t="n">
        <v>9.19540229885057</v>
      </c>
    </row>
    <row r="70" customFormat="false" ht="15" hidden="false" customHeight="false" outlineLevel="0" collapsed="false">
      <c r="A70" s="0" t="s">
        <v>1040</v>
      </c>
      <c r="B70" s="0" t="s">
        <v>791</v>
      </c>
      <c r="C70" s="0" t="n">
        <v>6</v>
      </c>
      <c r="F70" s="44" t="n">
        <f aca="false">100*C70/$C$77</f>
        <v>6.89655172413793</v>
      </c>
      <c r="O70" s="0" t="s">
        <v>1040</v>
      </c>
      <c r="P70" s="44" t="n">
        <v>6.89655172413793</v>
      </c>
    </row>
    <row r="71" customFormat="false" ht="15" hidden="false" customHeight="false" outlineLevel="0" collapsed="false">
      <c r="A71" s="0" t="s">
        <v>1448</v>
      </c>
      <c r="B71" s="0" t="s">
        <v>762</v>
      </c>
      <c r="C71" s="0" t="n">
        <v>5</v>
      </c>
      <c r="F71" s="44" t="n">
        <f aca="false">100*C71/$C$77</f>
        <v>5.74712643678161</v>
      </c>
      <c r="M71" s="46"/>
      <c r="O71" s="0" t="s">
        <v>648</v>
      </c>
      <c r="P71" s="44" t="n">
        <v>5.74712643678161</v>
      </c>
    </row>
    <row r="72" customFormat="false" ht="15" hidden="false" customHeight="false" outlineLevel="0" collapsed="false">
      <c r="A72" s="0" t="s">
        <v>1493</v>
      </c>
      <c r="B72" s="0" t="s">
        <v>762</v>
      </c>
      <c r="C72" s="0" t="n">
        <v>5</v>
      </c>
      <c r="F72" s="44" t="n">
        <f aca="false">100*C72/$C$77</f>
        <v>5.74712643678161</v>
      </c>
      <c r="H72" s="46"/>
      <c r="M72" s="46"/>
      <c r="O72" s="0" t="s">
        <v>687</v>
      </c>
      <c r="P72" s="44" t="n">
        <v>13.8</v>
      </c>
    </row>
    <row r="73" customFormat="false" ht="15" hidden="false" customHeight="false" outlineLevel="0" collapsed="false">
      <c r="A73" s="0" t="s">
        <v>927</v>
      </c>
      <c r="B73" s="0" t="s">
        <v>928</v>
      </c>
      <c r="C73" s="0" t="n">
        <v>5</v>
      </c>
      <c r="F73" s="44" t="n">
        <f aca="false">100*C73/$C$77</f>
        <v>5.74712643678161</v>
      </c>
      <c r="H73" s="46"/>
      <c r="M73" s="46"/>
    </row>
    <row r="74" customFormat="false" ht="15" hidden="false" customHeight="false" outlineLevel="0" collapsed="false">
      <c r="A74" s="0" t="s">
        <v>1487</v>
      </c>
      <c r="B74" s="0" t="s">
        <v>566</v>
      </c>
      <c r="C74" s="0" t="n">
        <v>1</v>
      </c>
      <c r="F74" s="44" t="n">
        <f aca="false">100*C74/$C$77</f>
        <v>1.14942528735632</v>
      </c>
    </row>
    <row r="75" customFormat="false" ht="15" hidden="false" customHeight="false" outlineLevel="0" collapsed="false">
      <c r="A75" s="0" t="s">
        <v>1141</v>
      </c>
      <c r="B75" s="0" t="s">
        <v>547</v>
      </c>
      <c r="C75" s="0" t="n">
        <v>1</v>
      </c>
      <c r="F75" s="44" t="n">
        <f aca="false">100*C75/$C$77</f>
        <v>1.14942528735632</v>
      </c>
      <c r="H75" s="46"/>
      <c r="M75" s="46"/>
    </row>
    <row r="77" customFormat="false" ht="15" hidden="false" customHeight="false" outlineLevel="0" collapsed="false">
      <c r="C77" s="0" t="n">
        <f aca="false">SUM(C66:C76)</f>
        <v>87</v>
      </c>
      <c r="H77" s="46"/>
      <c r="M77" s="46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2019-07-22T21:23:30Z</dcterms:created>
  <dc:creator>Usuario</dc:creator>
  <dc:description/>
  <dc:language>pt-BR</dc:language>
  <cp:lastModifiedBy/>
  <dcterms:modified xsi:type="dcterms:W3CDTF">2019-08-15T22:44:54Z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